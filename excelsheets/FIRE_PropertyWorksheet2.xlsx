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j/Documents/"/>
    </mc:Choice>
  </mc:AlternateContent>
  <xr:revisionPtr revIDLastSave="0" documentId="8_{DB3CB625-E4D3-DE4A-B39E-0048D8E05227}" xr6:coauthVersionLast="47" xr6:coauthVersionMax="47" xr10:uidLastSave="{00000000-0000-0000-0000-000000000000}"/>
  <bookViews>
    <workbookView xWindow="0" yWindow="760" windowWidth="38400" windowHeight="24100" xr2:uid="{0BB7B39A-5E36-9D44-9DBD-4851BF62DD7C}"/>
  </bookViews>
  <sheets>
    <sheet name="User Guide" sheetId="15" r:id="rId1"/>
    <sheet name="Assumptions" sheetId="2" r:id="rId2"/>
    <sheet name="Dashboard" sheetId="1" r:id="rId3"/>
    <sheet name="Sensitivity Analysis" sheetId="12" r:id="rId4"/>
    <sheet name="Scenario Tables" sheetId="11" r:id="rId5"/>
    <sheet name="Opportunity Cost" sheetId="7" r:id="rId6"/>
    <sheet name="Bala Table" sheetId="3" r:id="rId7"/>
    <sheet name="HDB 1984" sheetId="4" r:id="rId8"/>
    <sheet name="HDB 2005" sheetId="8" r:id="rId9"/>
    <sheet name="HDB 2015" sheetId="9" r:id="rId10"/>
    <sheet name="Condo 99LH" sheetId="5" r:id="rId11"/>
    <sheet name="FH Condo" sheetId="6" r:id="rId12"/>
    <sheet name="FH Landed (Prime)" sheetId="10" r:id="rId13"/>
    <sheet name="Cash Flow Waterfall" sheetId="13" r:id="rId14"/>
    <sheet name="Plan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2" l="1"/>
  <c r="C54" i="2"/>
  <c r="C43" i="2"/>
  <c r="C39" i="2"/>
  <c r="C26" i="2"/>
  <c r="C24" i="2"/>
  <c r="C22" i="2"/>
  <c r="C18" i="2"/>
  <c r="C17" i="2"/>
  <c r="C16" i="2"/>
  <c r="C14" i="2"/>
  <c r="C13" i="2"/>
  <c r="C10" i="2"/>
  <c r="C9" i="2"/>
  <c r="C8" i="2"/>
  <c r="C7" i="2"/>
  <c r="C5" i="2"/>
  <c r="C4" i="2"/>
  <c r="C6" i="1"/>
  <c r="A746" i="14" a="1"/>
  <c r="A746" i="14" s="1"/>
  <c r="A745" i="14" a="1"/>
  <c r="A745" i="14" s="1"/>
  <c r="A555" i="14" a="1"/>
  <c r="A555" i="14" s="1"/>
  <c r="A500" i="14" a="1"/>
  <c r="A500" i="14" s="1"/>
  <c r="A495" i="14" a="1"/>
  <c r="A495" i="14" s="1"/>
  <c r="A482" i="14" a="1"/>
  <c r="A482" i="14" s="1"/>
  <c r="A477" i="14" a="1"/>
  <c r="A477" i="14" s="1"/>
  <c r="A476" i="14" a="1"/>
  <c r="A476" i="14" s="1"/>
  <c r="A425" i="14" a="1"/>
  <c r="A425" i="14" s="1"/>
  <c r="A361" i="14" a="1"/>
  <c r="A361" i="14" s="1"/>
  <c r="A360" i="14" a="1"/>
  <c r="A360" i="14" s="1"/>
  <c r="A359" i="14" a="1"/>
  <c r="A359" i="14"/>
  <c r="A358" i="14" a="1"/>
  <c r="A358" i="14" s="1"/>
  <c r="A356" i="14" a="1"/>
  <c r="A356" i="14" s="1"/>
  <c r="A322" i="14" a="1"/>
  <c r="A322" i="14" s="1"/>
  <c r="A320" i="14"/>
  <c r="A316" i="14" a="1"/>
  <c r="A316" i="14" s="1"/>
  <c r="A312" i="14" a="1"/>
  <c r="A312" i="14" s="1"/>
  <c r="A308" i="14" a="1"/>
  <c r="A308" i="14" s="1"/>
  <c r="A297" i="14" a="1"/>
  <c r="A297" i="14" s="1"/>
  <c r="A135" i="14" a="1"/>
  <c r="A135" i="14" s="1"/>
  <c r="A123" i="14" a="1"/>
  <c r="A123" i="14" s="1"/>
  <c r="A119" i="14"/>
  <c r="A118" i="14" a="1"/>
  <c r="A118" i="14" s="1"/>
  <c r="A114" i="14"/>
  <c r="A110" i="14" a="1"/>
  <c r="A110" i="14"/>
  <c r="A107" i="14"/>
  <c r="A106" i="14" a="1"/>
  <c r="A106" i="14" s="1"/>
  <c r="A104" i="14" a="1"/>
  <c r="A104" i="14" s="1"/>
  <c r="A99" i="14"/>
  <c r="A82" i="14" a="1"/>
  <c r="A82" i="14" s="1"/>
  <c r="A81" i="14" a="1"/>
  <c r="A81" i="14" s="1"/>
  <c r="A78" i="14" a="1"/>
  <c r="A78" i="14" s="1"/>
  <c r="A77" i="14" a="1"/>
  <c r="A77" i="14" s="1"/>
  <c r="A56" i="14" a="1"/>
  <c r="A56" i="14" s="1"/>
  <c r="A55" i="14" a="1"/>
  <c r="A55" i="14" s="1"/>
  <c r="A53" i="14" a="1"/>
  <c r="A53" i="14" s="1"/>
  <c r="C122" i="1"/>
  <c r="F122" i="1"/>
  <c r="C121" i="1"/>
  <c r="F121" i="1"/>
  <c r="O41" i="1"/>
  <c r="O42" i="1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S10" i="13"/>
  <c r="S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C5" i="13"/>
  <c r="N9" i="12"/>
  <c r="N8" i="12"/>
  <c r="C5" i="12"/>
  <c r="H6" i="12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E43" i="10"/>
  <c r="E43" i="9"/>
  <c r="E43" i="8"/>
  <c r="E43" i="6"/>
  <c r="E43" i="5"/>
  <c r="E43" i="4"/>
  <c r="C19" i="2"/>
  <c r="G27" i="11"/>
  <c r="F27" i="11"/>
  <c r="C27" i="11"/>
  <c r="H26" i="11"/>
  <c r="E26" i="11"/>
  <c r="D26" i="11"/>
  <c r="B26" i="11"/>
  <c r="H25" i="11"/>
  <c r="E25" i="11"/>
  <c r="D25" i="11"/>
  <c r="B25" i="11"/>
  <c r="B24" i="11"/>
  <c r="C47" i="2"/>
  <c r="G47" i="2" s="1"/>
  <c r="G48" i="2" s="1"/>
  <c r="G34" i="2"/>
  <c r="F34" i="2"/>
  <c r="E34" i="2"/>
  <c r="D34" i="2"/>
  <c r="C34" i="2"/>
  <c r="B20" i="11"/>
  <c r="B19" i="11"/>
  <c r="B18" i="11"/>
  <c r="C14" i="11"/>
  <c r="B14" i="11"/>
  <c r="C13" i="11"/>
  <c r="B13" i="11"/>
  <c r="B12" i="11"/>
  <c r="H34" i="2"/>
  <c r="B8" i="11"/>
  <c r="B7" i="11"/>
  <c r="B6" i="11"/>
  <c r="B5" i="11"/>
  <c r="I9" i="7"/>
  <c r="I5" i="7"/>
  <c r="C7" i="10"/>
  <c r="I7" i="7" s="1"/>
  <c r="C5" i="10"/>
  <c r="G15" i="10" s="1"/>
  <c r="C4" i="10"/>
  <c r="I12" i="1" s="1"/>
  <c r="A16" i="10"/>
  <c r="K16" i="10" s="1"/>
  <c r="B15" i="10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H49" i="2"/>
  <c r="H46" i="2"/>
  <c r="H9" i="7"/>
  <c r="G9" i="7"/>
  <c r="H5" i="7"/>
  <c r="G5" i="7"/>
  <c r="C15" i="9"/>
  <c r="C16" i="9" s="1"/>
  <c r="D16" i="9" s="1"/>
  <c r="C15" i="8"/>
  <c r="D28" i="1" s="1"/>
  <c r="C118" i="1" s="1"/>
  <c r="C7" i="9"/>
  <c r="C5" i="9"/>
  <c r="G15" i="9" s="1"/>
  <c r="C4" i="9"/>
  <c r="E12" i="1" s="1"/>
  <c r="C7" i="8"/>
  <c r="G7" i="7" s="1"/>
  <c r="C5" i="8"/>
  <c r="C11" i="8" s="1"/>
  <c r="C4" i="8"/>
  <c r="D12" i="1" s="1"/>
  <c r="A16" i="9"/>
  <c r="K16" i="9" s="1"/>
  <c r="L16" i="9" s="1"/>
  <c r="D15" i="9"/>
  <c r="E30" i="1" s="1"/>
  <c r="B15" i="9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A16" i="8"/>
  <c r="K16" i="8" s="1"/>
  <c r="B15" i="8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G49" i="2"/>
  <c r="F49" i="2"/>
  <c r="G46" i="2"/>
  <c r="F46" i="2"/>
  <c r="C7" i="6"/>
  <c r="C7" i="5"/>
  <c r="D7" i="7" s="1"/>
  <c r="C7" i="4"/>
  <c r="C7" i="7" s="1"/>
  <c r="F28" i="1"/>
  <c r="C120" i="1" s="1"/>
  <c r="C7" i="1"/>
  <c r="I6" i="1"/>
  <c r="I5" i="1"/>
  <c r="I4" i="1"/>
  <c r="C4" i="1"/>
  <c r="A15" i="7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F14" i="7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B14" i="7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E9" i="7"/>
  <c r="D9" i="7"/>
  <c r="C9" i="7"/>
  <c r="E5" i="7"/>
  <c r="D5" i="7"/>
  <c r="C5" i="7"/>
  <c r="A16" i="6"/>
  <c r="K16" i="6" s="1"/>
  <c r="L16" i="6" s="1"/>
  <c r="B15" i="6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C5" i="6"/>
  <c r="G15" i="6" s="1"/>
  <c r="C4" i="6"/>
  <c r="G12" i="1" s="1"/>
  <c r="A16" i="5"/>
  <c r="A17" i="5" s="1"/>
  <c r="P17" i="5" s="1"/>
  <c r="C15" i="5"/>
  <c r="D15" i="5" s="1"/>
  <c r="B15" i="5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C5" i="5"/>
  <c r="G15" i="5" s="1"/>
  <c r="C4" i="5"/>
  <c r="F12" i="1" s="1"/>
  <c r="A16" i="4"/>
  <c r="A17" i="4" s="1"/>
  <c r="G15" i="4"/>
  <c r="I16" i="4" s="1"/>
  <c r="F15" i="4"/>
  <c r="C15" i="4"/>
  <c r="C16" i="4" s="1"/>
  <c r="B15" i="4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C5" i="4"/>
  <c r="C11" i="4" s="1"/>
  <c r="C4" i="4"/>
  <c r="C12" i="1" s="1"/>
  <c r="E49" i="2"/>
  <c r="D49" i="2"/>
  <c r="C49" i="2"/>
  <c r="E46" i="2"/>
  <c r="D46" i="2"/>
  <c r="C46" i="2"/>
  <c r="C23" i="2"/>
  <c r="C27" i="2" s="1"/>
  <c r="C15" i="2"/>
  <c r="H24" i="11" s="1"/>
  <c r="H27" i="11" s="1"/>
  <c r="C6" i="2"/>
  <c r="C25" i="2" l="1"/>
  <c r="I16" i="9"/>
  <c r="C48" i="2"/>
  <c r="C51" i="2" s="1"/>
  <c r="C8" i="4" s="1"/>
  <c r="C28" i="1"/>
  <c r="C117" i="1" s="1"/>
  <c r="F15" i="8"/>
  <c r="H47" i="2"/>
  <c r="H48" i="2" s="1"/>
  <c r="H51" i="2" s="1"/>
  <c r="C8" i="10" s="1"/>
  <c r="E9" i="13"/>
  <c r="P16" i="6"/>
  <c r="G15" i="8"/>
  <c r="I16" i="8" s="1"/>
  <c r="F9" i="13"/>
  <c r="D47" i="2"/>
  <c r="D48" i="2" s="1"/>
  <c r="D51" i="2" s="1"/>
  <c r="C8" i="5" s="1"/>
  <c r="E47" i="2"/>
  <c r="E48" i="2" s="1"/>
  <c r="E51" i="2" s="1"/>
  <c r="C8" i="6" s="1"/>
  <c r="A17" i="6"/>
  <c r="K17" i="6" s="1"/>
  <c r="C6" i="9"/>
  <c r="K16" i="5"/>
  <c r="L16" i="5" s="1"/>
  <c r="C6" i="6"/>
  <c r="P16" i="5"/>
  <c r="F47" i="2"/>
  <c r="F48" i="2" s="1"/>
  <c r="F51" i="2" s="1"/>
  <c r="C8" i="8" s="1"/>
  <c r="M16" i="9"/>
  <c r="C6" i="13" a="1"/>
  <c r="C6" i="13" s="1"/>
  <c r="H15" i="4"/>
  <c r="Q15" i="4" s="1"/>
  <c r="C6" i="12" a="1"/>
  <c r="C6" i="12" s="1"/>
  <c r="N10" i="12" s="1" a="1"/>
  <c r="N10" i="12" s="1"/>
  <c r="N5" i="12" a="1"/>
  <c r="N5" i="12" s="1"/>
  <c r="H4" i="12" a="1"/>
  <c r="H4" i="12" s="1"/>
  <c r="C6" i="8"/>
  <c r="C9" i="8" s="1"/>
  <c r="E7" i="7"/>
  <c r="E15" i="6"/>
  <c r="F15" i="6" s="1"/>
  <c r="H15" i="6" s="1"/>
  <c r="Q15" i="6" s="1"/>
  <c r="K17" i="5"/>
  <c r="L17" i="5" s="1"/>
  <c r="A18" i="5"/>
  <c r="K18" i="5" s="1"/>
  <c r="L18" i="5" s="1"/>
  <c r="C6" i="5"/>
  <c r="C16" i="5"/>
  <c r="D16" i="4"/>
  <c r="C17" i="4"/>
  <c r="D17" i="4" s="1"/>
  <c r="K17" i="4"/>
  <c r="L17" i="4" s="1"/>
  <c r="A18" i="4"/>
  <c r="K18" i="4" s="1"/>
  <c r="L18" i="4" s="1"/>
  <c r="C6" i="4"/>
  <c r="C9" i="4" s="1"/>
  <c r="D15" i="4"/>
  <c r="E15" i="4" s="1"/>
  <c r="K16" i="4"/>
  <c r="L16" i="4" s="1"/>
  <c r="M16" i="4" s="1"/>
  <c r="N16" i="4" s="1"/>
  <c r="R16" i="4" s="1"/>
  <c r="P16" i="4"/>
  <c r="L16" i="8"/>
  <c r="L16" i="10"/>
  <c r="L17" i="6"/>
  <c r="C11" i="10"/>
  <c r="F30" i="1"/>
  <c r="I16" i="10"/>
  <c r="C9" i="13" s="1"/>
  <c r="D15" i="8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15" i="10"/>
  <c r="F15" i="10" s="1"/>
  <c r="H15" i="10" s="1"/>
  <c r="Q15" i="10" s="1"/>
  <c r="C12" i="11"/>
  <c r="E15" i="5"/>
  <c r="F15" i="5"/>
  <c r="H15" i="5" s="1"/>
  <c r="Q15" i="5" s="1"/>
  <c r="C18" i="4"/>
  <c r="E28" i="1"/>
  <c r="C119" i="1" s="1"/>
  <c r="G16" i="4"/>
  <c r="I17" i="4" s="1"/>
  <c r="D24" i="11"/>
  <c r="D27" i="11" s="1"/>
  <c r="I16" i="5" s="1"/>
  <c r="G17" i="4"/>
  <c r="E24" i="11"/>
  <c r="E27" i="11" s="1"/>
  <c r="H5" i="12" s="1" a="1"/>
  <c r="H5" i="12" s="1"/>
  <c r="G16" i="8"/>
  <c r="I17" i="8" s="1"/>
  <c r="C11" i="9"/>
  <c r="C12" i="9" s="1"/>
  <c r="H10" i="7" s="1"/>
  <c r="P17" i="4"/>
  <c r="C6" i="10"/>
  <c r="C12" i="8"/>
  <c r="G10" i="7" s="1"/>
  <c r="C5" i="1"/>
  <c r="E16" i="5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H18" i="1"/>
  <c r="H19" i="1" s="1"/>
  <c r="F38" i="7"/>
  <c r="F40" i="7" s="1"/>
  <c r="F42" i="7" s="1"/>
  <c r="P16" i="10"/>
  <c r="A17" i="10"/>
  <c r="K17" i="10" s="1"/>
  <c r="E10" i="13" s="1"/>
  <c r="G51" i="2"/>
  <c r="C8" i="9" s="1"/>
  <c r="H7" i="7"/>
  <c r="E15" i="9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P16" i="9"/>
  <c r="A17" i="9"/>
  <c r="K17" i="9" s="1"/>
  <c r="L17" i="9" s="1"/>
  <c r="C17" i="9"/>
  <c r="F15" i="9"/>
  <c r="H15" i="9" s="1"/>
  <c r="Q15" i="9" s="1"/>
  <c r="C16" i="8"/>
  <c r="P16" i="8"/>
  <c r="A17" i="8"/>
  <c r="K17" i="8" s="1"/>
  <c r="P17" i="6"/>
  <c r="A18" i="6"/>
  <c r="K18" i="6" s="1"/>
  <c r="A19" i="5"/>
  <c r="K19" i="5" s="1"/>
  <c r="P18" i="4"/>
  <c r="C10" i="4" l="1"/>
  <c r="C14" i="1" s="1"/>
  <c r="C10" i="8"/>
  <c r="D14" i="1" s="1"/>
  <c r="C10" i="10"/>
  <c r="I14" i="1" s="1"/>
  <c r="C10" i="9"/>
  <c r="E14" i="1" s="1"/>
  <c r="N42" i="1"/>
  <c r="D122" i="1"/>
  <c r="M16" i="8"/>
  <c r="N16" i="8" s="1"/>
  <c r="R16" i="8" s="1"/>
  <c r="H15" i="8"/>
  <c r="Q15" i="8" s="1"/>
  <c r="P18" i="5"/>
  <c r="C30" i="1"/>
  <c r="N9" i="13"/>
  <c r="Q9" i="13"/>
  <c r="N38" i="1"/>
  <c r="D118" i="1"/>
  <c r="D117" i="1"/>
  <c r="N37" i="1"/>
  <c r="G18" i="4"/>
  <c r="G17" i="9"/>
  <c r="E16" i="6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L17" i="8"/>
  <c r="M17" i="8" s="1"/>
  <c r="H21" i="1"/>
  <c r="F48" i="7"/>
  <c r="G16" i="9"/>
  <c r="I17" i="9" s="1"/>
  <c r="I18" i="4"/>
  <c r="D119" i="1"/>
  <c r="N39" i="1"/>
  <c r="A19" i="4"/>
  <c r="P19" i="4" s="1"/>
  <c r="C51" i="1"/>
  <c r="D51" i="1"/>
  <c r="E51" i="1"/>
  <c r="F51" i="1"/>
  <c r="G51" i="1"/>
  <c r="B51" i="1"/>
  <c r="E16" i="10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G17" i="8"/>
  <c r="M16" i="10"/>
  <c r="G9" i="13" s="1"/>
  <c r="N7" i="12"/>
  <c r="N6" i="12"/>
  <c r="N4" i="12"/>
  <c r="M17" i="4"/>
  <c r="G17" i="10"/>
  <c r="J10" i="13" s="1"/>
  <c r="U10" i="13" s="1"/>
  <c r="L17" i="10"/>
  <c r="F10" i="13" s="1"/>
  <c r="Q10" i="13" s="1"/>
  <c r="C9" i="10"/>
  <c r="M17" i="9"/>
  <c r="L18" i="6"/>
  <c r="M16" i="5"/>
  <c r="N16" i="5" s="1"/>
  <c r="R16" i="5" s="1"/>
  <c r="D16" i="5"/>
  <c r="C17" i="5"/>
  <c r="L19" i="5"/>
  <c r="M18" i="4"/>
  <c r="C11" i="6"/>
  <c r="C12" i="6" s="1"/>
  <c r="E10" i="7" s="1"/>
  <c r="C11" i="5"/>
  <c r="C12" i="5" s="1"/>
  <c r="D30" i="1"/>
  <c r="D18" i="4"/>
  <c r="C19" i="4"/>
  <c r="I16" i="6"/>
  <c r="C12" i="10"/>
  <c r="G16" i="10"/>
  <c r="C9" i="9"/>
  <c r="H6" i="7" s="1"/>
  <c r="H8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J16" i="9"/>
  <c r="C9" i="6"/>
  <c r="C10" i="6"/>
  <c r="G14" i="1" s="1"/>
  <c r="C6" i="7"/>
  <c r="C8" i="7" s="1"/>
  <c r="C14" i="7" s="1"/>
  <c r="C13" i="1"/>
  <c r="I13" i="1"/>
  <c r="I6" i="7"/>
  <c r="I8" i="7" s="1"/>
  <c r="I14" i="7" s="1"/>
  <c r="C10" i="5"/>
  <c r="F14" i="1" s="1"/>
  <c r="C9" i="5"/>
  <c r="G6" i="7"/>
  <c r="G8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D13" i="1"/>
  <c r="F16" i="9"/>
  <c r="E16" i="4"/>
  <c r="P17" i="10"/>
  <c r="A18" i="10"/>
  <c r="F16" i="10"/>
  <c r="I9" i="13" s="1"/>
  <c r="T9" i="13" s="1"/>
  <c r="J16" i="8"/>
  <c r="A18" i="9"/>
  <c r="K18" i="9" s="1"/>
  <c r="L18" i="9" s="1"/>
  <c r="P17" i="9"/>
  <c r="C18" i="9"/>
  <c r="D17" i="9"/>
  <c r="F17" i="9" s="1"/>
  <c r="N16" i="9"/>
  <c r="R16" i="9" s="1"/>
  <c r="D16" i="8"/>
  <c r="F16" i="8" s="1"/>
  <c r="C17" i="8"/>
  <c r="A18" i="8"/>
  <c r="P17" i="8"/>
  <c r="J17" i="8"/>
  <c r="C12" i="4"/>
  <c r="J16" i="5"/>
  <c r="D10" i="7"/>
  <c r="A19" i="6"/>
  <c r="K19" i="6" s="1"/>
  <c r="L19" i="6" s="1"/>
  <c r="P18" i="6"/>
  <c r="A20" i="5"/>
  <c r="K20" i="5" s="1"/>
  <c r="P19" i="5"/>
  <c r="A20" i="4"/>
  <c r="G16" i="5" l="1"/>
  <c r="I17" i="5" s="1"/>
  <c r="M17" i="5" s="1"/>
  <c r="N16" i="10"/>
  <c r="R16" i="10" s="1"/>
  <c r="H9" i="13"/>
  <c r="I17" i="10"/>
  <c r="C10" i="13" s="1"/>
  <c r="J9" i="13"/>
  <c r="U9" i="13" s="1"/>
  <c r="D120" i="1"/>
  <c r="N40" i="1"/>
  <c r="I10" i="7"/>
  <c r="B9" i="13"/>
  <c r="K19" i="4"/>
  <c r="G19" i="4"/>
  <c r="I20" i="4" s="1"/>
  <c r="J20" i="4" s="1"/>
  <c r="G20" i="5"/>
  <c r="P9" i="13"/>
  <c r="I19" i="4"/>
  <c r="N41" i="1"/>
  <c r="D121" i="1"/>
  <c r="E14" i="12"/>
  <c r="J15" i="12"/>
  <c r="H12" i="12"/>
  <c r="F13" i="12"/>
  <c r="D12" i="12"/>
  <c r="G15" i="12"/>
  <c r="F15" i="12"/>
  <c r="H18" i="12"/>
  <c r="D18" i="12"/>
  <c r="I13" i="12"/>
  <c r="G17" i="12"/>
  <c r="J14" i="12"/>
  <c r="J16" i="12"/>
  <c r="F18" i="12"/>
  <c r="I12" i="12"/>
  <c r="I18" i="12"/>
  <c r="D13" i="12"/>
  <c r="D14" i="12"/>
  <c r="I17" i="12"/>
  <c r="E12" i="12"/>
  <c r="J17" i="12"/>
  <c r="D15" i="12"/>
  <c r="D16" i="12"/>
  <c r="D17" i="12"/>
  <c r="E18" i="12"/>
  <c r="H17" i="12"/>
  <c r="F17" i="12"/>
  <c r="E17" i="12"/>
  <c r="I14" i="12"/>
  <c r="J13" i="12"/>
  <c r="G14" i="12"/>
  <c r="H13" i="12"/>
  <c r="G18" i="12"/>
  <c r="E13" i="12"/>
  <c r="E15" i="12"/>
  <c r="E16" i="12"/>
  <c r="J12" i="12"/>
  <c r="I16" i="12"/>
  <c r="H14" i="12"/>
  <c r="G16" i="12"/>
  <c r="H16" i="12"/>
  <c r="J18" i="12"/>
  <c r="G13" i="12"/>
  <c r="F16" i="12"/>
  <c r="F14" i="12"/>
  <c r="G12" i="12"/>
  <c r="I15" i="12"/>
  <c r="F12" i="12"/>
  <c r="H15" i="12"/>
  <c r="G17" i="5"/>
  <c r="I18" i="5" s="1"/>
  <c r="G19" i="5"/>
  <c r="I20" i="5" s="1"/>
  <c r="J20" i="5" s="1"/>
  <c r="I15" i="7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18" i="1" s="1"/>
  <c r="G55" i="1" s="1"/>
  <c r="J16" i="6"/>
  <c r="G16" i="6"/>
  <c r="I17" i="6" s="1"/>
  <c r="M17" i="6" s="1"/>
  <c r="I18" i="10"/>
  <c r="C11" i="13" s="1"/>
  <c r="N11" i="13" s="1"/>
  <c r="K18" i="10"/>
  <c r="G18" i="10"/>
  <c r="J11" i="13" s="1"/>
  <c r="U11" i="13" s="1"/>
  <c r="M17" i="10"/>
  <c r="J17" i="10"/>
  <c r="D10" i="13" s="1"/>
  <c r="O10" i="13" s="1"/>
  <c r="J16" i="10"/>
  <c r="D9" i="13" s="1"/>
  <c r="I18" i="9"/>
  <c r="J18" i="9" s="1"/>
  <c r="M18" i="9"/>
  <c r="G18" i="9"/>
  <c r="I19" i="9" s="1"/>
  <c r="K18" i="8"/>
  <c r="L18" i="8" s="1"/>
  <c r="G18" i="8"/>
  <c r="I18" i="8"/>
  <c r="J18" i="8" s="1"/>
  <c r="G19" i="6"/>
  <c r="M16" i="6"/>
  <c r="N16" i="6" s="1"/>
  <c r="C18" i="5"/>
  <c r="D17" i="5"/>
  <c r="L20" i="5"/>
  <c r="K20" i="4"/>
  <c r="L20" i="4" s="1"/>
  <c r="G20" i="4"/>
  <c r="E13" i="1"/>
  <c r="G17" i="6"/>
  <c r="I18" i="6" s="1"/>
  <c r="J18" i="6" s="1"/>
  <c r="C20" i="4"/>
  <c r="D19" i="4"/>
  <c r="G18" i="6"/>
  <c r="I19" i="6" s="1"/>
  <c r="M19" i="6" s="1"/>
  <c r="G18" i="5"/>
  <c r="I19" i="5" s="1"/>
  <c r="J19" i="5" s="1"/>
  <c r="H16" i="10"/>
  <c r="S16" i="10" s="1"/>
  <c r="H16" i="9"/>
  <c r="O16" i="9" s="1"/>
  <c r="J17" i="9"/>
  <c r="G38" i="7"/>
  <c r="D18" i="1"/>
  <c r="C55" i="1" s="1"/>
  <c r="D6" i="7"/>
  <c r="D8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F13" i="1"/>
  <c r="E6" i="7"/>
  <c r="E8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G13" i="1"/>
  <c r="F16" i="5"/>
  <c r="H16" i="5" s="1"/>
  <c r="F16" i="4"/>
  <c r="H16" i="4" s="1"/>
  <c r="S16" i="4" s="1"/>
  <c r="E17" i="4"/>
  <c r="F16" i="6"/>
  <c r="A19" i="10"/>
  <c r="P18" i="10"/>
  <c r="F17" i="10"/>
  <c r="E18" i="1"/>
  <c r="D55" i="1" s="1"/>
  <c r="H38" i="7"/>
  <c r="H17" i="9"/>
  <c r="H16" i="8"/>
  <c r="P18" i="9"/>
  <c r="A19" i="9"/>
  <c r="D18" i="9"/>
  <c r="F18" i="9" s="1"/>
  <c r="C19" i="9"/>
  <c r="N17" i="9"/>
  <c r="R17" i="9" s="1"/>
  <c r="A19" i="8"/>
  <c r="P18" i="8"/>
  <c r="N17" i="8"/>
  <c r="R17" i="8" s="1"/>
  <c r="C18" i="8"/>
  <c r="D17" i="8"/>
  <c r="F17" i="8" s="1"/>
  <c r="H17" i="8" s="1"/>
  <c r="S17" i="8" s="1"/>
  <c r="J19" i="4"/>
  <c r="J17" i="5"/>
  <c r="N17" i="5"/>
  <c r="R17" i="5" s="1"/>
  <c r="C10" i="7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J16" i="4"/>
  <c r="J18" i="4"/>
  <c r="P19" i="6"/>
  <c r="A20" i="6"/>
  <c r="G20" i="6" s="1"/>
  <c r="A21" i="5"/>
  <c r="P20" i="5"/>
  <c r="A21" i="4"/>
  <c r="P20" i="4"/>
  <c r="J18" i="10" l="1"/>
  <c r="D11" i="13" s="1"/>
  <c r="O11" i="13" s="1"/>
  <c r="M20" i="4"/>
  <c r="L19" i="4"/>
  <c r="M19" i="4" s="1"/>
  <c r="B10" i="13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O9" i="13"/>
  <c r="M20" i="5"/>
  <c r="N10" i="13"/>
  <c r="N17" i="10"/>
  <c r="G10" i="13"/>
  <c r="L18" i="10"/>
  <c r="E11" i="13"/>
  <c r="J17" i="6"/>
  <c r="H16" i="6"/>
  <c r="S16" i="6" s="1"/>
  <c r="I38" i="7"/>
  <c r="J19" i="6"/>
  <c r="Q16" i="10"/>
  <c r="K9" i="13" s="1"/>
  <c r="V9" i="13" s="1"/>
  <c r="O16" i="10"/>
  <c r="H17" i="10"/>
  <c r="S17" i="10" s="1"/>
  <c r="I10" i="13"/>
  <c r="T10" i="13" s="1"/>
  <c r="M18" i="8"/>
  <c r="N18" i="8" s="1"/>
  <c r="R18" i="8" s="1"/>
  <c r="M18" i="5"/>
  <c r="N18" i="5" s="1"/>
  <c r="J18" i="5"/>
  <c r="K19" i="10"/>
  <c r="G19" i="10"/>
  <c r="J12" i="13" s="1"/>
  <c r="U12" i="13" s="1"/>
  <c r="I19" i="10"/>
  <c r="C12" i="13" s="1"/>
  <c r="N12" i="13" s="1"/>
  <c r="Q17" i="9"/>
  <c r="S17" i="9"/>
  <c r="Q16" i="9"/>
  <c r="S16" i="9"/>
  <c r="K19" i="9"/>
  <c r="L19" i="9" s="1"/>
  <c r="M19" i="9" s="1"/>
  <c r="G19" i="9"/>
  <c r="Q16" i="8"/>
  <c r="S16" i="8"/>
  <c r="K19" i="8"/>
  <c r="L19" i="8" s="1"/>
  <c r="G19" i="8"/>
  <c r="I19" i="8"/>
  <c r="J19" i="8" s="1"/>
  <c r="R16" i="6"/>
  <c r="N17" i="6"/>
  <c r="R17" i="6" s="1"/>
  <c r="M18" i="6"/>
  <c r="I20" i="6"/>
  <c r="J20" i="6" s="1"/>
  <c r="K20" i="6"/>
  <c r="L20" i="6" s="1"/>
  <c r="O16" i="5"/>
  <c r="S16" i="5"/>
  <c r="K21" i="5"/>
  <c r="L21" i="5"/>
  <c r="G21" i="5"/>
  <c r="I22" i="5" s="1"/>
  <c r="C19" i="5"/>
  <c r="D18" i="5"/>
  <c r="I21" i="5"/>
  <c r="J21" i="5" s="1"/>
  <c r="M19" i="5"/>
  <c r="I21" i="4"/>
  <c r="J21" i="4" s="1"/>
  <c r="K21" i="4"/>
  <c r="L21" i="4" s="1"/>
  <c r="G21" i="4"/>
  <c r="C21" i="4"/>
  <c r="D20" i="4"/>
  <c r="Q16" i="5"/>
  <c r="F18" i="1"/>
  <c r="E55" i="1" s="1"/>
  <c r="D38" i="7"/>
  <c r="G18" i="1"/>
  <c r="F55" i="1" s="1"/>
  <c r="E38" i="7"/>
  <c r="O16" i="8"/>
  <c r="F17" i="6"/>
  <c r="H17" i="6" s="1"/>
  <c r="O17" i="9"/>
  <c r="E18" i="4"/>
  <c r="F17" i="4"/>
  <c r="H17" i="4" s="1"/>
  <c r="F17" i="5"/>
  <c r="H17" i="5" s="1"/>
  <c r="P19" i="10"/>
  <c r="A20" i="10"/>
  <c r="F18" i="10"/>
  <c r="H18" i="9"/>
  <c r="D19" i="9"/>
  <c r="F19" i="9" s="1"/>
  <c r="C20" i="9"/>
  <c r="N18" i="9"/>
  <c r="R18" i="9" s="1"/>
  <c r="A20" i="9"/>
  <c r="P19" i="9"/>
  <c r="J19" i="9"/>
  <c r="Q17" i="8"/>
  <c r="O17" i="8"/>
  <c r="A20" i="8"/>
  <c r="P19" i="8"/>
  <c r="D18" i="8"/>
  <c r="F18" i="8" s="1"/>
  <c r="H18" i="8" s="1"/>
  <c r="S18" i="8" s="1"/>
  <c r="C19" i="8"/>
  <c r="J17" i="4"/>
  <c r="N17" i="4"/>
  <c r="Q16" i="4"/>
  <c r="O16" i="4"/>
  <c r="C18" i="1"/>
  <c r="B55" i="1" s="1"/>
  <c r="C38" i="7"/>
  <c r="A21" i="6"/>
  <c r="P20" i="6"/>
  <c r="P21" i="5"/>
  <c r="A22" i="5"/>
  <c r="P21" i="4"/>
  <c r="A22" i="4"/>
  <c r="M21" i="4" l="1"/>
  <c r="B29" i="13"/>
  <c r="O16" i="6"/>
  <c r="M21" i="5"/>
  <c r="J19" i="10"/>
  <c r="D12" i="13" s="1"/>
  <c r="O12" i="13" s="1"/>
  <c r="M20" i="6"/>
  <c r="Q16" i="6"/>
  <c r="O17" i="10"/>
  <c r="R17" i="10"/>
  <c r="H10" i="13"/>
  <c r="M18" i="10"/>
  <c r="F11" i="13"/>
  <c r="L19" i="10"/>
  <c r="F12" i="13" s="1"/>
  <c r="Q12" i="13" s="1"/>
  <c r="E12" i="13"/>
  <c r="Q17" i="10"/>
  <c r="K10" i="13" s="1"/>
  <c r="V10" i="13" s="1"/>
  <c r="P10" i="13"/>
  <c r="N18" i="6"/>
  <c r="R18" i="6" s="1"/>
  <c r="H18" i="10"/>
  <c r="Q18" i="10" s="1"/>
  <c r="K11" i="13" s="1"/>
  <c r="V11" i="13" s="1"/>
  <c r="I11" i="13"/>
  <c r="T11" i="13" s="1"/>
  <c r="M19" i="10"/>
  <c r="G12" i="13" s="1"/>
  <c r="P12" i="13" s="1"/>
  <c r="K20" i="10"/>
  <c r="E13" i="13" s="1"/>
  <c r="G20" i="10"/>
  <c r="J13" i="13" s="1"/>
  <c r="U13" i="13" s="1"/>
  <c r="I20" i="10"/>
  <c r="C13" i="13" s="1"/>
  <c r="N13" i="13" s="1"/>
  <c r="K20" i="9"/>
  <c r="G20" i="9"/>
  <c r="I20" i="9"/>
  <c r="J20" i="9" s="1"/>
  <c r="O18" i="9"/>
  <c r="S18" i="9"/>
  <c r="I20" i="8"/>
  <c r="J20" i="8" s="1"/>
  <c r="M19" i="8"/>
  <c r="N19" i="8" s="1"/>
  <c r="R19" i="8" s="1"/>
  <c r="K20" i="8"/>
  <c r="G20" i="8"/>
  <c r="K21" i="6"/>
  <c r="L21" i="6"/>
  <c r="G21" i="6"/>
  <c r="I21" i="6"/>
  <c r="J21" i="6" s="1"/>
  <c r="I41" i="6" a="1"/>
  <c r="I41" i="6" s="1"/>
  <c r="G24" i="1" s="1"/>
  <c r="P41" i="1" s="1"/>
  <c r="S17" i="6"/>
  <c r="I41" i="5" a="1"/>
  <c r="I41" i="5" s="1"/>
  <c r="F24" i="1" s="1"/>
  <c r="P40" i="1" s="1"/>
  <c r="S17" i="5"/>
  <c r="C20" i="5"/>
  <c r="D19" i="5"/>
  <c r="K22" i="5"/>
  <c r="L22" i="5" s="1"/>
  <c r="M22" i="5" s="1"/>
  <c r="G22" i="5"/>
  <c r="N19" i="5"/>
  <c r="R19" i="5" s="1"/>
  <c r="R18" i="5"/>
  <c r="N18" i="4"/>
  <c r="R17" i="4"/>
  <c r="I22" i="4"/>
  <c r="J22" i="4" s="1"/>
  <c r="K22" i="4"/>
  <c r="L22" i="4" s="1"/>
  <c r="G22" i="4"/>
  <c r="I23" i="4" s="1"/>
  <c r="I41" i="4" a="1"/>
  <c r="I41" i="4" s="1"/>
  <c r="C24" i="1" s="1"/>
  <c r="P37" i="1" s="1"/>
  <c r="S17" i="4"/>
  <c r="C22" i="4"/>
  <c r="D21" i="4"/>
  <c r="F18" i="4"/>
  <c r="H18" i="4" s="1"/>
  <c r="S18" i="4" s="1"/>
  <c r="E19" i="4"/>
  <c r="O17" i="5"/>
  <c r="Q17" i="5"/>
  <c r="O17" i="6"/>
  <c r="Q17" i="6"/>
  <c r="F18" i="6"/>
  <c r="H18" i="6" s="1"/>
  <c r="S18" i="6" s="1"/>
  <c r="F18" i="5"/>
  <c r="H18" i="5" s="1"/>
  <c r="S18" i="5" s="1"/>
  <c r="O17" i="4"/>
  <c r="Q17" i="4"/>
  <c r="Q18" i="9"/>
  <c r="F19" i="10"/>
  <c r="A21" i="10"/>
  <c r="P20" i="10"/>
  <c r="H19" i="9"/>
  <c r="A21" i="9"/>
  <c r="P20" i="9"/>
  <c r="C21" i="9"/>
  <c r="D20" i="9"/>
  <c r="F20" i="9" s="1"/>
  <c r="N19" i="9"/>
  <c r="R19" i="9" s="1"/>
  <c r="O18" i="8"/>
  <c r="Q18" i="8"/>
  <c r="A21" i="8"/>
  <c r="P20" i="8"/>
  <c r="D19" i="8"/>
  <c r="F19" i="8" s="1"/>
  <c r="H19" i="8" s="1"/>
  <c r="S19" i="8" s="1"/>
  <c r="C20" i="8"/>
  <c r="P21" i="6"/>
  <c r="A22" i="6"/>
  <c r="A23" i="5"/>
  <c r="P22" i="5"/>
  <c r="J22" i="5"/>
  <c r="A23" i="4"/>
  <c r="P22" i="4"/>
  <c r="J20" i="10" l="1"/>
  <c r="D13" i="13" s="1"/>
  <c r="O13" i="13" s="1"/>
  <c r="O18" i="10"/>
  <c r="N19" i="6"/>
  <c r="R19" i="6" s="1"/>
  <c r="Q11" i="13"/>
  <c r="G11" i="13"/>
  <c r="N18" i="10"/>
  <c r="H19" i="10"/>
  <c r="S19" i="10" s="1"/>
  <c r="I12" i="13"/>
  <c r="T12" i="13" s="1"/>
  <c r="S18" i="10"/>
  <c r="I41" i="10" a="1"/>
  <c r="I41" i="10" s="1"/>
  <c r="I24" i="1" s="1"/>
  <c r="P42" i="1" s="1"/>
  <c r="M21" i="6"/>
  <c r="M22" i="4"/>
  <c r="I21" i="10"/>
  <c r="C14" i="13" s="1"/>
  <c r="K21" i="10"/>
  <c r="E14" i="13" s="1"/>
  <c r="G21" i="10"/>
  <c r="L21" i="10"/>
  <c r="L20" i="10"/>
  <c r="I21" i="9"/>
  <c r="J21" i="9" s="1"/>
  <c r="K21" i="9"/>
  <c r="L21" i="9" s="1"/>
  <c r="G21" i="9"/>
  <c r="Q19" i="9"/>
  <c r="S19" i="9"/>
  <c r="L20" i="9"/>
  <c r="M20" i="9" s="1"/>
  <c r="N20" i="9" s="1"/>
  <c r="R20" i="9" s="1"/>
  <c r="I21" i="8"/>
  <c r="J21" i="8" s="1"/>
  <c r="L20" i="8"/>
  <c r="M20" i="8" s="1"/>
  <c r="N20" i="8" s="1"/>
  <c r="R20" i="8" s="1"/>
  <c r="K21" i="8"/>
  <c r="L21" i="8" s="1"/>
  <c r="M21" i="8" s="1"/>
  <c r="G21" i="8"/>
  <c r="K22" i="6"/>
  <c r="L22" i="6" s="1"/>
  <c r="G22" i="6"/>
  <c r="I22" i="6"/>
  <c r="J22" i="6" s="1"/>
  <c r="C21" i="5"/>
  <c r="D20" i="5"/>
  <c r="K23" i="5"/>
  <c r="G23" i="5"/>
  <c r="I23" i="5"/>
  <c r="J23" i="5" s="1"/>
  <c r="N20" i="5"/>
  <c r="R20" i="5" s="1"/>
  <c r="K23" i="4"/>
  <c r="L23" i="4" s="1"/>
  <c r="M23" i="4" s="1"/>
  <c r="G23" i="4"/>
  <c r="I24" i="4" s="1"/>
  <c r="N19" i="4"/>
  <c r="R18" i="4"/>
  <c r="D22" i="4"/>
  <c r="C23" i="4"/>
  <c r="O19" i="9"/>
  <c r="F19" i="6"/>
  <c r="H19" i="6" s="1"/>
  <c r="S19" i="6" s="1"/>
  <c r="Q18" i="5"/>
  <c r="O18" i="5"/>
  <c r="O18" i="6"/>
  <c r="Q18" i="6"/>
  <c r="F19" i="4"/>
  <c r="H19" i="4" s="1"/>
  <c r="S19" i="4" s="1"/>
  <c r="E20" i="4"/>
  <c r="F19" i="5"/>
  <c r="H19" i="5" s="1"/>
  <c r="S19" i="5" s="1"/>
  <c r="O18" i="4"/>
  <c r="Q18" i="4"/>
  <c r="F20" i="10"/>
  <c r="P21" i="10"/>
  <c r="J21" i="10"/>
  <c r="D14" i="13" s="1"/>
  <c r="O14" i="13" s="1"/>
  <c r="A22" i="10"/>
  <c r="H20" i="9"/>
  <c r="D21" i="9"/>
  <c r="F21" i="9" s="1"/>
  <c r="C22" i="9"/>
  <c r="P21" i="9"/>
  <c r="A22" i="9"/>
  <c r="Q19" i="8"/>
  <c r="O19" i="8"/>
  <c r="A22" i="8"/>
  <c r="P21" i="8"/>
  <c r="C21" i="8"/>
  <c r="D20" i="8"/>
  <c r="F20" i="8" s="1"/>
  <c r="H20" i="8" s="1"/>
  <c r="S20" i="8" s="1"/>
  <c r="A23" i="6"/>
  <c r="P22" i="6"/>
  <c r="A24" i="5"/>
  <c r="P23" i="5"/>
  <c r="A24" i="4"/>
  <c r="P23" i="4"/>
  <c r="J23" i="4"/>
  <c r="M21" i="9" l="1"/>
  <c r="N20" i="6"/>
  <c r="R20" i="6" s="1"/>
  <c r="Q19" i="10"/>
  <c r="K12" i="13" s="1"/>
  <c r="V12" i="13" s="1"/>
  <c r="M22" i="6"/>
  <c r="O19" i="10"/>
  <c r="I22" i="8"/>
  <c r="M20" i="10"/>
  <c r="F13" i="13"/>
  <c r="R18" i="10"/>
  <c r="H11" i="13"/>
  <c r="N19" i="10"/>
  <c r="M21" i="10"/>
  <c r="G14" i="13" s="1"/>
  <c r="P14" i="13" s="1"/>
  <c r="F14" i="13"/>
  <c r="Q14" i="13" s="1"/>
  <c r="I22" i="10"/>
  <c r="C15" i="13" s="1"/>
  <c r="N15" i="13" s="1"/>
  <c r="J14" i="13"/>
  <c r="U14" i="13" s="1"/>
  <c r="P11" i="13"/>
  <c r="N14" i="13"/>
  <c r="H20" i="10"/>
  <c r="S20" i="10" s="1"/>
  <c r="I13" i="13"/>
  <c r="T13" i="13" s="1"/>
  <c r="N21" i="6"/>
  <c r="R21" i="6" s="1"/>
  <c r="K22" i="10"/>
  <c r="G22" i="10"/>
  <c r="J15" i="13" s="1"/>
  <c r="U15" i="13" s="1"/>
  <c r="K22" i="9"/>
  <c r="L22" i="9" s="1"/>
  <c r="G22" i="9"/>
  <c r="I22" i="9"/>
  <c r="J22" i="9" s="1"/>
  <c r="O20" i="9"/>
  <c r="S20" i="9"/>
  <c r="K22" i="8"/>
  <c r="L22" i="8" s="1"/>
  <c r="M22" i="8" s="1"/>
  <c r="G22" i="8"/>
  <c r="K23" i="6"/>
  <c r="G23" i="6"/>
  <c r="I23" i="6"/>
  <c r="J23" i="6" s="1"/>
  <c r="I24" i="5"/>
  <c r="L23" i="5"/>
  <c r="M23" i="5" s="1"/>
  <c r="N21" i="5"/>
  <c r="R21" i="5" s="1"/>
  <c r="K24" i="5"/>
  <c r="L24" i="5" s="1"/>
  <c r="G24" i="5"/>
  <c r="I25" i="5" s="1"/>
  <c r="D21" i="5"/>
  <c r="C22" i="5"/>
  <c r="R19" i="4"/>
  <c r="N20" i="4"/>
  <c r="K24" i="4"/>
  <c r="L24" i="4" s="1"/>
  <c r="M24" i="4" s="1"/>
  <c r="G24" i="4"/>
  <c r="C24" i="4"/>
  <c r="D23" i="4"/>
  <c r="N22" i="5"/>
  <c r="R22" i="5" s="1"/>
  <c r="F20" i="5"/>
  <c r="H20" i="5" s="1"/>
  <c r="S20" i="5" s="1"/>
  <c r="O19" i="4"/>
  <c r="Q19" i="4"/>
  <c r="O19" i="5"/>
  <c r="Q19" i="5"/>
  <c r="F20" i="6"/>
  <c r="H20" i="6" s="1"/>
  <c r="S20" i="6" s="1"/>
  <c r="F20" i="4"/>
  <c r="H20" i="4" s="1"/>
  <c r="S20" i="4" s="1"/>
  <c r="E21" i="4"/>
  <c r="O19" i="6"/>
  <c r="Q19" i="6"/>
  <c r="F21" i="10"/>
  <c r="A23" i="10"/>
  <c r="P22" i="10"/>
  <c r="Q20" i="9"/>
  <c r="H21" i="9"/>
  <c r="P22" i="9"/>
  <c r="A23" i="9"/>
  <c r="D22" i="9"/>
  <c r="F22" i="9" s="1"/>
  <c r="C23" i="9"/>
  <c r="N21" i="9"/>
  <c r="R21" i="9" s="1"/>
  <c r="Q20" i="8"/>
  <c r="O20" i="8"/>
  <c r="P22" i="8"/>
  <c r="J22" i="8"/>
  <c r="A23" i="8"/>
  <c r="N21" i="8"/>
  <c r="R21" i="8" s="1"/>
  <c r="D21" i="8"/>
  <c r="F21" i="8" s="1"/>
  <c r="H21" i="8" s="1"/>
  <c r="S21" i="8" s="1"/>
  <c r="C22" i="8"/>
  <c r="P23" i="6"/>
  <c r="A24" i="6"/>
  <c r="P24" i="5"/>
  <c r="A25" i="5"/>
  <c r="J24" i="5"/>
  <c r="J24" i="4"/>
  <c r="A25" i="4"/>
  <c r="P24" i="4"/>
  <c r="J22" i="10" l="1"/>
  <c r="D15" i="13" s="1"/>
  <c r="O15" i="13" s="1"/>
  <c r="O20" i="10"/>
  <c r="Q20" i="10"/>
  <c r="K13" i="13" s="1"/>
  <c r="V13" i="13" s="1"/>
  <c r="M24" i="5"/>
  <c r="L22" i="10"/>
  <c r="E15" i="13"/>
  <c r="R19" i="10"/>
  <c r="H12" i="13"/>
  <c r="Q13" i="13"/>
  <c r="I25" i="4"/>
  <c r="J25" i="4" s="1"/>
  <c r="N20" i="10"/>
  <c r="G13" i="13"/>
  <c r="N22" i="6"/>
  <c r="R22" i="6" s="1"/>
  <c r="H21" i="10"/>
  <c r="S21" i="10" s="1"/>
  <c r="I14" i="13"/>
  <c r="T14" i="13" s="1"/>
  <c r="M22" i="9"/>
  <c r="N22" i="9" s="1"/>
  <c r="R22" i="9" s="1"/>
  <c r="N23" i="5"/>
  <c r="R23" i="5" s="1"/>
  <c r="K23" i="10"/>
  <c r="E16" i="13" s="1"/>
  <c r="G23" i="10"/>
  <c r="J16" i="13" s="1"/>
  <c r="U16" i="13" s="1"/>
  <c r="I23" i="10"/>
  <c r="C16" i="13" s="1"/>
  <c r="O21" i="9"/>
  <c r="S21" i="9"/>
  <c r="I23" i="9"/>
  <c r="J23" i="9" s="1"/>
  <c r="K23" i="9"/>
  <c r="L23" i="9"/>
  <c r="M23" i="9" s="1"/>
  <c r="G23" i="9"/>
  <c r="K23" i="8"/>
  <c r="G23" i="8"/>
  <c r="I24" i="8" s="1"/>
  <c r="L23" i="8"/>
  <c r="I23" i="8"/>
  <c r="J23" i="8" s="1"/>
  <c r="K24" i="6"/>
  <c r="L24" i="6"/>
  <c r="G24" i="6"/>
  <c r="I24" i="6"/>
  <c r="J24" i="6" s="1"/>
  <c r="L23" i="6"/>
  <c r="M23" i="6" s="1"/>
  <c r="N23" i="6" s="1"/>
  <c r="R23" i="6" s="1"/>
  <c r="D22" i="5"/>
  <c r="C23" i="5"/>
  <c r="K25" i="5"/>
  <c r="L25" i="5"/>
  <c r="M25" i="5" s="1"/>
  <c r="G25" i="5"/>
  <c r="R20" i="4"/>
  <c r="N21" i="4"/>
  <c r="K25" i="4"/>
  <c r="L25" i="4" s="1"/>
  <c r="G25" i="4"/>
  <c r="D24" i="4"/>
  <c r="C25" i="4"/>
  <c r="Q21" i="9"/>
  <c r="E22" i="4"/>
  <c r="F21" i="4"/>
  <c r="H21" i="4" s="1"/>
  <c r="S21" i="4" s="1"/>
  <c r="Q20" i="4"/>
  <c r="O20" i="4"/>
  <c r="F21" i="6"/>
  <c r="H21" i="6" s="1"/>
  <c r="S21" i="6" s="1"/>
  <c r="Q20" i="6"/>
  <c r="O20" i="6"/>
  <c r="Q20" i="5"/>
  <c r="O20" i="5"/>
  <c r="F21" i="5"/>
  <c r="H21" i="5" s="1"/>
  <c r="S21" i="5" s="1"/>
  <c r="F22" i="10"/>
  <c r="Q21" i="10"/>
  <c r="K14" i="13" s="1"/>
  <c r="V14" i="13" s="1"/>
  <c r="P23" i="10"/>
  <c r="A24" i="10"/>
  <c r="H22" i="9"/>
  <c r="P23" i="9"/>
  <c r="A24" i="9"/>
  <c r="C24" i="9"/>
  <c r="D23" i="9"/>
  <c r="F23" i="9" s="1"/>
  <c r="Q21" i="8"/>
  <c r="O21" i="8"/>
  <c r="N22" i="8"/>
  <c r="R22" i="8" s="1"/>
  <c r="C23" i="8"/>
  <c r="D22" i="8"/>
  <c r="F22" i="8" s="1"/>
  <c r="H22" i="8" s="1"/>
  <c r="S22" i="8" s="1"/>
  <c r="A24" i="8"/>
  <c r="P23" i="8"/>
  <c r="A25" i="6"/>
  <c r="P24" i="6"/>
  <c r="P25" i="5"/>
  <c r="A26" i="5"/>
  <c r="J25" i="5"/>
  <c r="P25" i="4"/>
  <c r="A26" i="4"/>
  <c r="O21" i="10" l="1"/>
  <c r="N24" i="5"/>
  <c r="R24" i="5" s="1"/>
  <c r="P13" i="13"/>
  <c r="R20" i="10"/>
  <c r="H13" i="13"/>
  <c r="N21" i="10"/>
  <c r="N16" i="13"/>
  <c r="I26" i="4"/>
  <c r="J26" i="4" s="1"/>
  <c r="J23" i="10"/>
  <c r="D16" i="13" s="1"/>
  <c r="O16" i="13" s="1"/>
  <c r="M25" i="4"/>
  <c r="I25" i="6"/>
  <c r="J25" i="6" s="1"/>
  <c r="M22" i="10"/>
  <c r="G15" i="13" s="1"/>
  <c r="P15" i="13" s="1"/>
  <c r="F15" i="13"/>
  <c r="H22" i="10"/>
  <c r="S22" i="10" s="1"/>
  <c r="I15" i="13"/>
  <c r="T15" i="13" s="1"/>
  <c r="M24" i="6"/>
  <c r="N24" i="6" s="1"/>
  <c r="R24" i="6" s="1"/>
  <c r="M23" i="8"/>
  <c r="N23" i="8" s="1"/>
  <c r="R23" i="8" s="1"/>
  <c r="K24" i="10"/>
  <c r="E17" i="13" s="1"/>
  <c r="L24" i="10"/>
  <c r="F17" i="13" s="1"/>
  <c r="Q17" i="13" s="1"/>
  <c r="G24" i="10"/>
  <c r="J17" i="13" s="1"/>
  <c r="U17" i="13" s="1"/>
  <c r="I24" i="10"/>
  <c r="C17" i="13" s="1"/>
  <c r="N17" i="13" s="1"/>
  <c r="L23" i="10"/>
  <c r="K24" i="9"/>
  <c r="G24" i="9"/>
  <c r="I24" i="9"/>
  <c r="J24" i="9" s="1"/>
  <c r="Q22" i="9"/>
  <c r="S22" i="9"/>
  <c r="K24" i="8"/>
  <c r="L24" i="8"/>
  <c r="M24" i="8" s="1"/>
  <c r="G24" i="8"/>
  <c r="I25" i="8" s="1"/>
  <c r="K25" i="6"/>
  <c r="L25" i="6"/>
  <c r="G25" i="6"/>
  <c r="I26" i="5"/>
  <c r="J26" i="5" s="1"/>
  <c r="K26" i="5"/>
  <c r="L26" i="5"/>
  <c r="G26" i="5"/>
  <c r="I27" i="5" s="1"/>
  <c r="C24" i="5"/>
  <c r="D23" i="5"/>
  <c r="R21" i="4"/>
  <c r="N22" i="4"/>
  <c r="K26" i="4"/>
  <c r="L26" i="4"/>
  <c r="G26" i="4"/>
  <c r="C26" i="4"/>
  <c r="D25" i="4"/>
  <c r="O22" i="9"/>
  <c r="O21" i="6"/>
  <c r="Q21" i="6"/>
  <c r="F22" i="5"/>
  <c r="H22" i="5" s="1"/>
  <c r="S22" i="5" s="1"/>
  <c r="Q21" i="4"/>
  <c r="O21" i="4"/>
  <c r="F22" i="6"/>
  <c r="H22" i="6" s="1"/>
  <c r="S22" i="6" s="1"/>
  <c r="O21" i="5"/>
  <c r="Q21" i="5"/>
  <c r="F22" i="4"/>
  <c r="H22" i="4" s="1"/>
  <c r="S22" i="4" s="1"/>
  <c r="E23" i="4"/>
  <c r="Q22" i="10"/>
  <c r="K15" i="13" s="1"/>
  <c r="V15" i="13" s="1"/>
  <c r="O22" i="10"/>
  <c r="F23" i="10"/>
  <c r="A25" i="10"/>
  <c r="P24" i="10"/>
  <c r="H23" i="9"/>
  <c r="C25" i="9"/>
  <c r="D24" i="9"/>
  <c r="F24" i="9" s="1"/>
  <c r="N23" i="9"/>
  <c r="R23" i="9" s="1"/>
  <c r="A25" i="9"/>
  <c r="P24" i="9"/>
  <c r="Q22" i="8"/>
  <c r="O22" i="8"/>
  <c r="C24" i="8"/>
  <c r="D23" i="8"/>
  <c r="F23" i="8" s="1"/>
  <c r="H23" i="8" s="1"/>
  <c r="S23" i="8" s="1"/>
  <c r="J24" i="8"/>
  <c r="A25" i="8"/>
  <c r="P24" i="8"/>
  <c r="N25" i="5"/>
  <c r="R25" i="5" s="1"/>
  <c r="P25" i="6"/>
  <c r="A26" i="6"/>
  <c r="A27" i="5"/>
  <c r="P26" i="5"/>
  <c r="P26" i="4"/>
  <c r="A27" i="4"/>
  <c r="J24" i="10" l="1"/>
  <c r="D17" i="13" s="1"/>
  <c r="O17" i="13" s="1"/>
  <c r="R21" i="10"/>
  <c r="H14" i="13"/>
  <c r="N22" i="10"/>
  <c r="I27" i="4"/>
  <c r="Q15" i="13"/>
  <c r="M26" i="4"/>
  <c r="M23" i="10"/>
  <c r="F16" i="13"/>
  <c r="Q16" i="13" s="1"/>
  <c r="H23" i="10"/>
  <c r="S23" i="10" s="1"/>
  <c r="I16" i="13"/>
  <c r="T16" i="13" s="1"/>
  <c r="M24" i="10"/>
  <c r="G17" i="13" s="1"/>
  <c r="P17" i="13" s="1"/>
  <c r="M26" i="5"/>
  <c r="N26" i="5" s="1"/>
  <c r="R26" i="5" s="1"/>
  <c r="I25" i="10"/>
  <c r="C18" i="13" s="1"/>
  <c r="N18" i="13" s="1"/>
  <c r="K25" i="10"/>
  <c r="G25" i="10"/>
  <c r="J18" i="13" s="1"/>
  <c r="U18" i="13" s="1"/>
  <c r="K25" i="9"/>
  <c r="L25" i="9"/>
  <c r="G25" i="9"/>
  <c r="I25" i="9"/>
  <c r="J25" i="9" s="1"/>
  <c r="Q23" i="9"/>
  <c r="S23" i="9"/>
  <c r="L24" i="9"/>
  <c r="M24" i="9" s="1"/>
  <c r="N24" i="9" s="1"/>
  <c r="R24" i="9" s="1"/>
  <c r="K25" i="8"/>
  <c r="L25" i="8"/>
  <c r="M25" i="8" s="1"/>
  <c r="G25" i="8"/>
  <c r="K26" i="6"/>
  <c r="L26" i="6"/>
  <c r="G26" i="6"/>
  <c r="I26" i="6"/>
  <c r="J26" i="6" s="1"/>
  <c r="M25" i="6"/>
  <c r="N25" i="6" s="1"/>
  <c r="R25" i="6" s="1"/>
  <c r="D24" i="5"/>
  <c r="C25" i="5"/>
  <c r="K27" i="5"/>
  <c r="L27" i="5"/>
  <c r="G27" i="5"/>
  <c r="K27" i="4"/>
  <c r="G27" i="4"/>
  <c r="R22" i="4"/>
  <c r="N23" i="4"/>
  <c r="C27" i="4"/>
  <c r="D26" i="4"/>
  <c r="O23" i="9"/>
  <c r="Q22" i="5"/>
  <c r="O22" i="5"/>
  <c r="F23" i="6"/>
  <c r="H23" i="6" s="1"/>
  <c r="S23" i="6" s="1"/>
  <c r="O22" i="6"/>
  <c r="Q22" i="6"/>
  <c r="E24" i="4"/>
  <c r="F23" i="4"/>
  <c r="H23" i="4" s="1"/>
  <c r="S23" i="4" s="1"/>
  <c r="F23" i="5"/>
  <c r="H23" i="5" s="1"/>
  <c r="S23" i="5" s="1"/>
  <c r="Q22" i="4"/>
  <c r="O22" i="4"/>
  <c r="F24" i="10"/>
  <c r="P25" i="10"/>
  <c r="A26" i="10"/>
  <c r="J25" i="10"/>
  <c r="D18" i="13" s="1"/>
  <c r="O18" i="13" s="1"/>
  <c r="P25" i="9"/>
  <c r="A26" i="9"/>
  <c r="H24" i="9"/>
  <c r="S24" i="9" s="1"/>
  <c r="D25" i="9"/>
  <c r="F25" i="9" s="1"/>
  <c r="C26" i="9"/>
  <c r="Q23" i="8"/>
  <c r="O23" i="8"/>
  <c r="C25" i="8"/>
  <c r="D24" i="8"/>
  <c r="F24" i="8" s="1"/>
  <c r="H24" i="8" s="1"/>
  <c r="S24" i="8" s="1"/>
  <c r="P25" i="8"/>
  <c r="J25" i="8"/>
  <c r="A26" i="8"/>
  <c r="N24" i="8"/>
  <c r="R24" i="8" s="1"/>
  <c r="P26" i="6"/>
  <c r="A27" i="6"/>
  <c r="J27" i="5"/>
  <c r="A28" i="5"/>
  <c r="P27" i="5"/>
  <c r="A28" i="4"/>
  <c r="J27" i="4"/>
  <c r="P27" i="4"/>
  <c r="O23" i="10" l="1"/>
  <c r="Q23" i="10"/>
  <c r="K16" i="13" s="1"/>
  <c r="V16" i="13" s="1"/>
  <c r="I28" i="5"/>
  <c r="J28" i="5" s="1"/>
  <c r="L25" i="10"/>
  <c r="E18" i="13"/>
  <c r="R22" i="10"/>
  <c r="H15" i="13"/>
  <c r="N23" i="10"/>
  <c r="G16" i="13"/>
  <c r="P16" i="13" s="1"/>
  <c r="H24" i="10"/>
  <c r="S24" i="10" s="1"/>
  <c r="I17" i="13"/>
  <c r="T17" i="13" s="1"/>
  <c r="M26" i="6"/>
  <c r="M25" i="9"/>
  <c r="N25" i="9" s="1"/>
  <c r="R25" i="9" s="1"/>
  <c r="K26" i="10"/>
  <c r="E19" i="13" s="1"/>
  <c r="L26" i="10"/>
  <c r="F19" i="13" s="1"/>
  <c r="Q19" i="13" s="1"/>
  <c r="G26" i="10"/>
  <c r="J19" i="13" s="1"/>
  <c r="U19" i="13" s="1"/>
  <c r="I26" i="10"/>
  <c r="C19" i="13" s="1"/>
  <c r="N19" i="13" s="1"/>
  <c r="K26" i="9"/>
  <c r="L26" i="9" s="1"/>
  <c r="G26" i="9"/>
  <c r="I26" i="9"/>
  <c r="J26" i="9" s="1"/>
  <c r="I26" i="8"/>
  <c r="K26" i="8"/>
  <c r="L26" i="8" s="1"/>
  <c r="M26" i="8" s="1"/>
  <c r="G26" i="8"/>
  <c r="K27" i="6"/>
  <c r="L27" i="6" s="1"/>
  <c r="G27" i="6"/>
  <c r="I27" i="6"/>
  <c r="J27" i="6" s="1"/>
  <c r="M27" i="5"/>
  <c r="N27" i="5" s="1"/>
  <c r="R27" i="5" s="1"/>
  <c r="K28" i="5"/>
  <c r="L28" i="5" s="1"/>
  <c r="M28" i="5" s="1"/>
  <c r="G28" i="5"/>
  <c r="D25" i="5"/>
  <c r="C26" i="5"/>
  <c r="R23" i="4"/>
  <c r="N24" i="4"/>
  <c r="I28" i="4"/>
  <c r="J28" i="4" s="1"/>
  <c r="K28" i="4"/>
  <c r="L28" i="4" s="1"/>
  <c r="G28" i="4"/>
  <c r="L27" i="4"/>
  <c r="M27" i="4" s="1"/>
  <c r="C28" i="4"/>
  <c r="D27" i="4"/>
  <c r="E25" i="4"/>
  <c r="F24" i="4"/>
  <c r="H24" i="4" s="1"/>
  <c r="S24" i="4" s="1"/>
  <c r="O23" i="5"/>
  <c r="Q23" i="5"/>
  <c r="F24" i="5"/>
  <c r="H24" i="5" s="1"/>
  <c r="S24" i="5" s="1"/>
  <c r="F24" i="6"/>
  <c r="H24" i="6" s="1"/>
  <c r="S24" i="6" s="1"/>
  <c r="O23" i="4"/>
  <c r="Q23" i="4"/>
  <c r="Q23" i="6"/>
  <c r="O23" i="6"/>
  <c r="F25" i="10"/>
  <c r="A27" i="10"/>
  <c r="P26" i="10"/>
  <c r="H25" i="9"/>
  <c r="O24" i="9"/>
  <c r="Q24" i="9"/>
  <c r="D26" i="9"/>
  <c r="F26" i="9" s="1"/>
  <c r="C27" i="9"/>
  <c r="P26" i="9"/>
  <c r="A27" i="9"/>
  <c r="Q24" i="8"/>
  <c r="O24" i="8"/>
  <c r="D25" i="8"/>
  <c r="F25" i="8" s="1"/>
  <c r="H25" i="8" s="1"/>
  <c r="S25" i="8" s="1"/>
  <c r="C26" i="8"/>
  <c r="J26" i="8"/>
  <c r="P26" i="8"/>
  <c r="A27" i="8"/>
  <c r="N25" i="8"/>
  <c r="R25" i="8" s="1"/>
  <c r="N26" i="6"/>
  <c r="R26" i="6" s="1"/>
  <c r="P27" i="6"/>
  <c r="A28" i="6"/>
  <c r="P28" i="5"/>
  <c r="A29" i="5"/>
  <c r="P28" i="4"/>
  <c r="A29" i="4"/>
  <c r="M28" i="4" l="1"/>
  <c r="Q24" i="10"/>
  <c r="K17" i="13" s="1"/>
  <c r="V17" i="13" s="1"/>
  <c r="J26" i="10"/>
  <c r="D19" i="13" s="1"/>
  <c r="O19" i="13" s="1"/>
  <c r="M25" i="10"/>
  <c r="G18" i="13" s="1"/>
  <c r="P18" i="13" s="1"/>
  <c r="F18" i="13"/>
  <c r="Q18" i="13" s="1"/>
  <c r="R23" i="10"/>
  <c r="H16" i="13"/>
  <c r="N24" i="10"/>
  <c r="O24" i="10"/>
  <c r="H25" i="10"/>
  <c r="S25" i="10" s="1"/>
  <c r="I18" i="13"/>
  <c r="T18" i="13" s="1"/>
  <c r="M26" i="10"/>
  <c r="G19" i="13" s="1"/>
  <c r="P19" i="13" s="1"/>
  <c r="M26" i="9"/>
  <c r="N26" i="9" s="1"/>
  <c r="R26" i="9" s="1"/>
  <c r="I27" i="10"/>
  <c r="C20" i="13" s="1"/>
  <c r="N20" i="13" s="1"/>
  <c r="K27" i="10"/>
  <c r="E20" i="13" s="1"/>
  <c r="G27" i="10"/>
  <c r="J20" i="13" s="1"/>
  <c r="U20" i="13" s="1"/>
  <c r="L27" i="10"/>
  <c r="F20" i="13" s="1"/>
  <c r="Q20" i="13" s="1"/>
  <c r="O25" i="9"/>
  <c r="S25" i="9"/>
  <c r="K27" i="9"/>
  <c r="L27" i="9" s="1"/>
  <c r="M27" i="9" s="1"/>
  <c r="G27" i="9"/>
  <c r="I27" i="9"/>
  <c r="I27" i="8"/>
  <c r="J27" i="8" s="1"/>
  <c r="K27" i="8"/>
  <c r="L27" i="8" s="1"/>
  <c r="G27" i="8"/>
  <c r="I28" i="6"/>
  <c r="J28" i="6" s="1"/>
  <c r="K28" i="6"/>
  <c r="L28" i="6" s="1"/>
  <c r="M28" i="6" s="1"/>
  <c r="G28" i="6"/>
  <c r="I29" i="6" s="1"/>
  <c r="M27" i="6"/>
  <c r="N27" i="6" s="1"/>
  <c r="R27" i="6" s="1"/>
  <c r="C27" i="5"/>
  <c r="D26" i="5"/>
  <c r="I29" i="5"/>
  <c r="J29" i="5" s="1"/>
  <c r="K29" i="5"/>
  <c r="L29" i="5" s="1"/>
  <c r="G29" i="5"/>
  <c r="I29" i="4"/>
  <c r="J29" i="4" s="1"/>
  <c r="K29" i="4"/>
  <c r="L29" i="4" s="1"/>
  <c r="M29" i="4" s="1"/>
  <c r="G29" i="4"/>
  <c r="R24" i="4"/>
  <c r="N25" i="4"/>
  <c r="D28" i="4"/>
  <c r="C29" i="4"/>
  <c r="F25" i="6"/>
  <c r="H25" i="6" s="1"/>
  <c r="S25" i="6" s="1"/>
  <c r="F25" i="5"/>
  <c r="H25" i="5" s="1"/>
  <c r="S25" i="5" s="1"/>
  <c r="O24" i="6"/>
  <c r="Q24" i="6"/>
  <c r="Q24" i="5"/>
  <c r="O24" i="5"/>
  <c r="O24" i="4"/>
  <c r="Q24" i="4"/>
  <c r="F25" i="4"/>
  <c r="H25" i="4" s="1"/>
  <c r="S25" i="4" s="1"/>
  <c r="E26" i="4"/>
  <c r="F26" i="10"/>
  <c r="P27" i="10"/>
  <c r="A28" i="10"/>
  <c r="H26" i="9"/>
  <c r="Q25" i="9"/>
  <c r="J27" i="9"/>
  <c r="A28" i="9"/>
  <c r="P27" i="9"/>
  <c r="C28" i="9"/>
  <c r="D27" i="9"/>
  <c r="F27" i="9" s="1"/>
  <c r="O25" i="8"/>
  <c r="Q25" i="8"/>
  <c r="A28" i="8"/>
  <c r="P27" i="8"/>
  <c r="D26" i="8"/>
  <c r="F26" i="8" s="1"/>
  <c r="H26" i="8" s="1"/>
  <c r="S26" i="8" s="1"/>
  <c r="C27" i="8"/>
  <c r="N26" i="8"/>
  <c r="R26" i="8" s="1"/>
  <c r="P28" i="6"/>
  <c r="A29" i="6"/>
  <c r="P29" i="5"/>
  <c r="A30" i="5"/>
  <c r="N28" i="5"/>
  <c r="R28" i="5" s="1"/>
  <c r="P29" i="4"/>
  <c r="A30" i="4"/>
  <c r="M27" i="8" l="1"/>
  <c r="J27" i="10"/>
  <c r="D20" i="13" s="1"/>
  <c r="O20" i="13" s="1"/>
  <c r="M29" i="5"/>
  <c r="R24" i="10"/>
  <c r="H17" i="13"/>
  <c r="N25" i="10"/>
  <c r="O25" i="10"/>
  <c r="I30" i="5"/>
  <c r="J30" i="5" s="1"/>
  <c r="Q25" i="10"/>
  <c r="K18" i="13" s="1"/>
  <c r="V18" i="13" s="1"/>
  <c r="H26" i="10"/>
  <c r="S26" i="10" s="1"/>
  <c r="I19" i="13"/>
  <c r="T19" i="13" s="1"/>
  <c r="K28" i="10"/>
  <c r="G28" i="10"/>
  <c r="J21" i="13" s="1"/>
  <c r="U21" i="13" s="1"/>
  <c r="I28" i="10"/>
  <c r="C21" i="13" s="1"/>
  <c r="N21" i="13" s="1"/>
  <c r="M27" i="10"/>
  <c r="G20" i="13" s="1"/>
  <c r="P20" i="13" s="1"/>
  <c r="K28" i="9"/>
  <c r="L28" i="9" s="1"/>
  <c r="G28" i="9"/>
  <c r="Q26" i="9"/>
  <c r="S26" i="9"/>
  <c r="I28" i="9"/>
  <c r="J28" i="9" s="1"/>
  <c r="H27" i="9"/>
  <c r="S27" i="9" s="1"/>
  <c r="I28" i="8"/>
  <c r="K28" i="8"/>
  <c r="L28" i="8" s="1"/>
  <c r="G28" i="8"/>
  <c r="K29" i="6"/>
  <c r="L29" i="6" s="1"/>
  <c r="M29" i="6" s="1"/>
  <c r="G29" i="6"/>
  <c r="K30" i="5"/>
  <c r="L30" i="5"/>
  <c r="G30" i="5"/>
  <c r="D27" i="5"/>
  <c r="C28" i="5"/>
  <c r="I30" i="4"/>
  <c r="J30" i="4" s="1"/>
  <c r="K30" i="4"/>
  <c r="L30" i="4" s="1"/>
  <c r="M30" i="4" s="1"/>
  <c r="G30" i="4"/>
  <c r="R25" i="4"/>
  <c r="N26" i="4"/>
  <c r="D29" i="4"/>
  <c r="C30" i="4"/>
  <c r="O26" i="9"/>
  <c r="F26" i="5"/>
  <c r="H26" i="5" s="1"/>
  <c r="S26" i="5" s="1"/>
  <c r="Q25" i="5"/>
  <c r="O25" i="5"/>
  <c r="F26" i="4"/>
  <c r="H26" i="4" s="1"/>
  <c r="S26" i="4" s="1"/>
  <c r="E27" i="4"/>
  <c r="Q25" i="6"/>
  <c r="O25" i="6"/>
  <c r="O25" i="4"/>
  <c r="Q25" i="4"/>
  <c r="F26" i="6"/>
  <c r="H26" i="6" s="1"/>
  <c r="S26" i="6" s="1"/>
  <c r="Q26" i="10"/>
  <c r="K19" i="13" s="1"/>
  <c r="V19" i="13" s="1"/>
  <c r="A29" i="10"/>
  <c r="P28" i="10"/>
  <c r="F27" i="10"/>
  <c r="N27" i="9"/>
  <c r="R27" i="9" s="1"/>
  <c r="P28" i="9"/>
  <c r="A29" i="9"/>
  <c r="C29" i="9"/>
  <c r="D28" i="9"/>
  <c r="F28" i="9" s="1"/>
  <c r="J28" i="8"/>
  <c r="A29" i="8"/>
  <c r="P28" i="8"/>
  <c r="Q26" i="8"/>
  <c r="O26" i="8"/>
  <c r="N27" i="8"/>
  <c r="R27" i="8" s="1"/>
  <c r="C28" i="8"/>
  <c r="D27" i="8"/>
  <c r="F27" i="8" s="1"/>
  <c r="H27" i="8" s="1"/>
  <c r="S27" i="8" s="1"/>
  <c r="P29" i="6"/>
  <c r="J29" i="6"/>
  <c r="A30" i="6"/>
  <c r="N28" i="6"/>
  <c r="R28" i="6" s="1"/>
  <c r="A31" i="5"/>
  <c r="P30" i="5"/>
  <c r="N29" i="5"/>
  <c r="R29" i="5" s="1"/>
  <c r="A31" i="4"/>
  <c r="P30" i="4"/>
  <c r="O26" i="10" l="1"/>
  <c r="M30" i="5"/>
  <c r="J28" i="10"/>
  <c r="D21" i="13" s="1"/>
  <c r="O21" i="13" s="1"/>
  <c r="L28" i="10"/>
  <c r="F21" i="13" s="1"/>
  <c r="Q21" i="13" s="1"/>
  <c r="E21" i="13"/>
  <c r="R25" i="10"/>
  <c r="H18" i="13"/>
  <c r="N26" i="10"/>
  <c r="H27" i="10"/>
  <c r="S27" i="10" s="1"/>
  <c r="I20" i="13"/>
  <c r="T20" i="13" s="1"/>
  <c r="M28" i="8"/>
  <c r="N28" i="8" s="1"/>
  <c r="R28" i="8" s="1"/>
  <c r="K29" i="10"/>
  <c r="G29" i="10"/>
  <c r="J22" i="13" s="1"/>
  <c r="U22" i="13" s="1"/>
  <c r="I29" i="10"/>
  <c r="C22" i="13" s="1"/>
  <c r="N22" i="13" s="1"/>
  <c r="K29" i="9"/>
  <c r="L29" i="9" s="1"/>
  <c r="G29" i="9"/>
  <c r="Q27" i="9"/>
  <c r="I29" i="9"/>
  <c r="J29" i="9" s="1"/>
  <c r="O27" i="9"/>
  <c r="M28" i="9"/>
  <c r="N28" i="9" s="1"/>
  <c r="R28" i="9" s="1"/>
  <c r="K29" i="8"/>
  <c r="L29" i="8" s="1"/>
  <c r="G29" i="8"/>
  <c r="I29" i="8"/>
  <c r="I30" i="6"/>
  <c r="K30" i="6"/>
  <c r="G30" i="6"/>
  <c r="I31" i="6" s="1"/>
  <c r="D28" i="5"/>
  <c r="C29" i="5"/>
  <c r="I31" i="5"/>
  <c r="J31" i="5" s="1"/>
  <c r="K31" i="5"/>
  <c r="L31" i="5"/>
  <c r="G31" i="5"/>
  <c r="I32" i="5" s="1"/>
  <c r="R26" i="4"/>
  <c r="N27" i="4"/>
  <c r="I31" i="4"/>
  <c r="J31" i="4" s="1"/>
  <c r="K31" i="4"/>
  <c r="G31" i="4"/>
  <c r="L31" i="4"/>
  <c r="M31" i="4" s="1"/>
  <c r="C31" i="4"/>
  <c r="D30" i="4"/>
  <c r="O26" i="6"/>
  <c r="Q26" i="6"/>
  <c r="F27" i="5"/>
  <c r="H27" i="5" s="1"/>
  <c r="S27" i="5" s="1"/>
  <c r="F27" i="4"/>
  <c r="H27" i="4" s="1"/>
  <c r="S27" i="4" s="1"/>
  <c r="E28" i="4"/>
  <c r="O26" i="4"/>
  <c r="Q26" i="4"/>
  <c r="F27" i="6"/>
  <c r="H27" i="6" s="1"/>
  <c r="S27" i="6" s="1"/>
  <c r="Q26" i="5"/>
  <c r="O26" i="5"/>
  <c r="F28" i="10"/>
  <c r="P29" i="10"/>
  <c r="A30" i="10"/>
  <c r="H28" i="9"/>
  <c r="D29" i="9"/>
  <c r="F29" i="9" s="1"/>
  <c r="C30" i="9"/>
  <c r="A30" i="9"/>
  <c r="P29" i="9"/>
  <c r="Q27" i="8"/>
  <c r="O27" i="8"/>
  <c r="A30" i="8"/>
  <c r="P29" i="8"/>
  <c r="J29" i="8"/>
  <c r="D28" i="8"/>
  <c r="F28" i="8" s="1"/>
  <c r="H28" i="8" s="1"/>
  <c r="S28" i="8" s="1"/>
  <c r="C29" i="8"/>
  <c r="N29" i="6"/>
  <c r="R29" i="6" s="1"/>
  <c r="J30" i="6"/>
  <c r="P30" i="6"/>
  <c r="A31" i="6"/>
  <c r="P31" i="5"/>
  <c r="A32" i="5"/>
  <c r="N30" i="5"/>
  <c r="R30" i="5" s="1"/>
  <c r="P31" i="4"/>
  <c r="A32" i="4"/>
  <c r="M28" i="10" l="1"/>
  <c r="G21" i="13" s="1"/>
  <c r="P21" i="13" s="1"/>
  <c r="J29" i="10"/>
  <c r="D22" i="13" s="1"/>
  <c r="O22" i="13" s="1"/>
  <c r="L29" i="10"/>
  <c r="F22" i="13" s="1"/>
  <c r="Q22" i="13" s="1"/>
  <c r="E22" i="13"/>
  <c r="I32" i="4"/>
  <c r="R26" i="10"/>
  <c r="H19" i="13"/>
  <c r="N27" i="10"/>
  <c r="Q27" i="10"/>
  <c r="K20" i="13" s="1"/>
  <c r="V20" i="13" s="1"/>
  <c r="O27" i="10"/>
  <c r="H28" i="10"/>
  <c r="S28" i="10" s="1"/>
  <c r="I21" i="13"/>
  <c r="T21" i="13" s="1"/>
  <c r="M29" i="9"/>
  <c r="M29" i="10"/>
  <c r="M31" i="5"/>
  <c r="M29" i="8"/>
  <c r="N29" i="8" s="1"/>
  <c r="R29" i="8" s="1"/>
  <c r="K30" i="10"/>
  <c r="E23" i="13" s="1"/>
  <c r="G30" i="10"/>
  <c r="J23" i="13" s="1"/>
  <c r="U23" i="13" s="1"/>
  <c r="I30" i="10"/>
  <c r="C23" i="13" s="1"/>
  <c r="N23" i="13" s="1"/>
  <c r="K30" i="9"/>
  <c r="L30" i="9" s="1"/>
  <c r="G30" i="9"/>
  <c r="Q28" i="9"/>
  <c r="S28" i="9"/>
  <c r="I30" i="9"/>
  <c r="J30" i="9" s="1"/>
  <c r="K30" i="8"/>
  <c r="G30" i="8"/>
  <c r="I30" i="8"/>
  <c r="J30" i="8" s="1"/>
  <c r="K31" i="6"/>
  <c r="L31" i="6" s="1"/>
  <c r="M31" i="6" s="1"/>
  <c r="G31" i="6"/>
  <c r="I32" i="6" s="1"/>
  <c r="L30" i="6"/>
  <c r="M30" i="6" s="1"/>
  <c r="N30" i="6" s="1"/>
  <c r="R30" i="6" s="1"/>
  <c r="K32" i="5"/>
  <c r="L32" i="5" s="1"/>
  <c r="M32" i="5" s="1"/>
  <c r="G32" i="5"/>
  <c r="C30" i="5"/>
  <c r="D29" i="5"/>
  <c r="R27" i="4"/>
  <c r="N28" i="4"/>
  <c r="K32" i="4"/>
  <c r="L32" i="4" s="1"/>
  <c r="M32" i="4" s="1"/>
  <c r="G32" i="4"/>
  <c r="C32" i="4"/>
  <c r="D31" i="4"/>
  <c r="O27" i="6"/>
  <c r="Q27" i="6"/>
  <c r="F28" i="6"/>
  <c r="H28" i="6" s="1"/>
  <c r="S28" i="6" s="1"/>
  <c r="Q27" i="4"/>
  <c r="O27" i="4"/>
  <c r="F28" i="5"/>
  <c r="H28" i="5" s="1"/>
  <c r="S28" i="5" s="1"/>
  <c r="F28" i="4"/>
  <c r="H28" i="4" s="1"/>
  <c r="S28" i="4" s="1"/>
  <c r="E29" i="4"/>
  <c r="Q27" i="5"/>
  <c r="O27" i="5"/>
  <c r="A31" i="10"/>
  <c r="P30" i="10"/>
  <c r="F29" i="10"/>
  <c r="O28" i="9"/>
  <c r="H29" i="9"/>
  <c r="N29" i="9"/>
  <c r="R29" i="9" s="1"/>
  <c r="A31" i="9"/>
  <c r="P30" i="9"/>
  <c r="C31" i="9"/>
  <c r="D30" i="9"/>
  <c r="F30" i="9" s="1"/>
  <c r="O28" i="8"/>
  <c r="Q28" i="8"/>
  <c r="A31" i="8"/>
  <c r="P30" i="8"/>
  <c r="D29" i="8"/>
  <c r="F29" i="8" s="1"/>
  <c r="H29" i="8" s="1"/>
  <c r="S29" i="8" s="1"/>
  <c r="C30" i="8"/>
  <c r="N31" i="5"/>
  <c r="R31" i="5" s="1"/>
  <c r="P31" i="6"/>
  <c r="J31" i="6"/>
  <c r="A32" i="6"/>
  <c r="A33" i="5"/>
  <c r="P32" i="5"/>
  <c r="J32" i="5"/>
  <c r="A33" i="4"/>
  <c r="P32" i="4"/>
  <c r="J32" i="4"/>
  <c r="J30" i="10" l="1"/>
  <c r="D23" i="13" s="1"/>
  <c r="O23" i="13" s="1"/>
  <c r="R27" i="10"/>
  <c r="H20" i="13"/>
  <c r="N28" i="10"/>
  <c r="N29" i="10" s="1"/>
  <c r="I33" i="4"/>
  <c r="J33" i="4" s="1"/>
  <c r="O28" i="10"/>
  <c r="Q28" i="10"/>
  <c r="K21" i="13" s="1"/>
  <c r="V21" i="13" s="1"/>
  <c r="G22" i="13"/>
  <c r="P22" i="13" s="1"/>
  <c r="H29" i="10"/>
  <c r="S29" i="10" s="1"/>
  <c r="I22" i="13"/>
  <c r="T22" i="13" s="1"/>
  <c r="I31" i="10"/>
  <c r="C24" i="13" s="1"/>
  <c r="N24" i="13" s="1"/>
  <c r="K31" i="10"/>
  <c r="E24" i="13" s="1"/>
  <c r="L31" i="10"/>
  <c r="G31" i="10"/>
  <c r="J24" i="13" s="1"/>
  <c r="U24" i="13" s="1"/>
  <c r="L30" i="10"/>
  <c r="M30" i="9"/>
  <c r="N30" i="9" s="1"/>
  <c r="R30" i="9" s="1"/>
  <c r="K31" i="9"/>
  <c r="L31" i="9"/>
  <c r="G31" i="9"/>
  <c r="I31" i="9"/>
  <c r="J31" i="9" s="1"/>
  <c r="Q29" i="9"/>
  <c r="S29" i="9"/>
  <c r="K31" i="8"/>
  <c r="G31" i="8"/>
  <c r="L31" i="8"/>
  <c r="I31" i="8"/>
  <c r="J31" i="8" s="1"/>
  <c r="L30" i="8"/>
  <c r="M30" i="8" s="1"/>
  <c r="N30" i="8" s="1"/>
  <c r="R30" i="8" s="1"/>
  <c r="K32" i="6"/>
  <c r="L32" i="6" s="1"/>
  <c r="M32" i="6" s="1"/>
  <c r="G32" i="6"/>
  <c r="C31" i="5"/>
  <c r="D30" i="5"/>
  <c r="K33" i="5"/>
  <c r="L33" i="5"/>
  <c r="G33" i="5"/>
  <c r="I33" i="5"/>
  <c r="J33" i="5" s="1"/>
  <c r="R28" i="4"/>
  <c r="N29" i="4"/>
  <c r="K33" i="4"/>
  <c r="L33" i="4"/>
  <c r="M33" i="4" s="1"/>
  <c r="G33" i="4"/>
  <c r="D32" i="4"/>
  <c r="C33" i="4"/>
  <c r="O29" i="9"/>
  <c r="O28" i="6"/>
  <c r="Q28" i="6"/>
  <c r="Q28" i="4"/>
  <c r="O28" i="4"/>
  <c r="O28" i="5"/>
  <c r="Q28" i="5"/>
  <c r="F29" i="6"/>
  <c r="H29" i="6" s="1"/>
  <c r="S29" i="6" s="1"/>
  <c r="F29" i="4"/>
  <c r="H29" i="4" s="1"/>
  <c r="S29" i="4" s="1"/>
  <c r="E30" i="4"/>
  <c r="F29" i="5"/>
  <c r="H29" i="5" s="1"/>
  <c r="S29" i="5" s="1"/>
  <c r="P31" i="10"/>
  <c r="J31" i="10"/>
  <c r="D24" i="13" s="1"/>
  <c r="O24" i="13" s="1"/>
  <c r="A32" i="10"/>
  <c r="F30" i="10"/>
  <c r="H30" i="9"/>
  <c r="A32" i="9"/>
  <c r="P31" i="9"/>
  <c r="D31" i="9"/>
  <c r="F31" i="9" s="1"/>
  <c r="C32" i="9"/>
  <c r="O29" i="8"/>
  <c r="Q29" i="8"/>
  <c r="A32" i="8"/>
  <c r="P31" i="8"/>
  <c r="C31" i="8"/>
  <c r="D30" i="8"/>
  <c r="F30" i="8" s="1"/>
  <c r="H30" i="8" s="1"/>
  <c r="S30" i="8" s="1"/>
  <c r="N32" i="5"/>
  <c r="R32" i="5" s="1"/>
  <c r="J32" i="6"/>
  <c r="A33" i="6"/>
  <c r="P32" i="6"/>
  <c r="N31" i="6"/>
  <c r="R31" i="6" s="1"/>
  <c r="P33" i="5"/>
  <c r="A34" i="5"/>
  <c r="A34" i="4"/>
  <c r="P33" i="4"/>
  <c r="Q29" i="10" l="1"/>
  <c r="K22" i="13" s="1"/>
  <c r="V22" i="13" s="1"/>
  <c r="I34" i="4"/>
  <c r="M31" i="10"/>
  <c r="G24" i="13" s="1"/>
  <c r="P24" i="13" s="1"/>
  <c r="F24" i="13"/>
  <c r="Q24" i="13" s="1"/>
  <c r="R28" i="10"/>
  <c r="H21" i="13"/>
  <c r="O29" i="10"/>
  <c r="R29" i="10"/>
  <c r="H22" i="13"/>
  <c r="M30" i="10"/>
  <c r="F23" i="13"/>
  <c r="Q23" i="13" s="1"/>
  <c r="H30" i="10"/>
  <c r="S30" i="10" s="1"/>
  <c r="I23" i="13"/>
  <c r="T23" i="13" s="1"/>
  <c r="M31" i="9"/>
  <c r="N31" i="9" s="1"/>
  <c r="R31" i="9" s="1"/>
  <c r="M31" i="8"/>
  <c r="N31" i="8" s="1"/>
  <c r="R31" i="8" s="1"/>
  <c r="M33" i="5"/>
  <c r="N33" i="5" s="1"/>
  <c r="R33" i="5" s="1"/>
  <c r="K32" i="10"/>
  <c r="G32" i="10"/>
  <c r="J25" i="13" s="1"/>
  <c r="U25" i="13" s="1"/>
  <c r="I32" i="10"/>
  <c r="C25" i="13" s="1"/>
  <c r="N25" i="13" s="1"/>
  <c r="Q30" i="9"/>
  <c r="S30" i="9"/>
  <c r="K32" i="9"/>
  <c r="L32" i="9" s="1"/>
  <c r="G32" i="9"/>
  <c r="I32" i="9"/>
  <c r="J32" i="9" s="1"/>
  <c r="K32" i="8"/>
  <c r="L32" i="8" s="1"/>
  <c r="G32" i="8"/>
  <c r="I33" i="8" s="1"/>
  <c r="I32" i="8"/>
  <c r="J32" i="8" s="1"/>
  <c r="I33" i="6"/>
  <c r="J33" i="6" s="1"/>
  <c r="K33" i="6"/>
  <c r="G33" i="6"/>
  <c r="I34" i="6" s="1"/>
  <c r="I34" i="5"/>
  <c r="J34" i="5" s="1"/>
  <c r="K34" i="5"/>
  <c r="L34" i="5" s="1"/>
  <c r="G34" i="5"/>
  <c r="D31" i="5"/>
  <c r="C32" i="5"/>
  <c r="K34" i="4"/>
  <c r="L34" i="4" s="1"/>
  <c r="M34" i="4" s="1"/>
  <c r="G34" i="4"/>
  <c r="R29" i="4"/>
  <c r="N30" i="4"/>
  <c r="D33" i="4"/>
  <c r="C34" i="4"/>
  <c r="F30" i="4"/>
  <c r="H30" i="4" s="1"/>
  <c r="S30" i="4" s="1"/>
  <c r="E31" i="4"/>
  <c r="Q29" i="4"/>
  <c r="O29" i="4"/>
  <c r="F30" i="6"/>
  <c r="H30" i="6" s="1"/>
  <c r="S30" i="6" s="1"/>
  <c r="F30" i="5"/>
  <c r="H30" i="5" s="1"/>
  <c r="S30" i="5" s="1"/>
  <c r="Q29" i="6"/>
  <c r="O29" i="6"/>
  <c r="O29" i="5"/>
  <c r="Q29" i="5"/>
  <c r="A33" i="10"/>
  <c r="P32" i="10"/>
  <c r="F31" i="10"/>
  <c r="Q30" i="10"/>
  <c r="K23" i="13" s="1"/>
  <c r="V23" i="13" s="1"/>
  <c r="O30" i="10"/>
  <c r="H31" i="9"/>
  <c r="O30" i="9"/>
  <c r="P32" i="9"/>
  <c r="A33" i="9"/>
  <c r="D32" i="9"/>
  <c r="F32" i="9" s="1"/>
  <c r="C33" i="9"/>
  <c r="Q30" i="8"/>
  <c r="O30" i="8"/>
  <c r="D31" i="8"/>
  <c r="F31" i="8" s="1"/>
  <c r="H31" i="8" s="1"/>
  <c r="S31" i="8" s="1"/>
  <c r="C32" i="8"/>
  <c r="P32" i="8"/>
  <c r="A33" i="8"/>
  <c r="P33" i="6"/>
  <c r="A34" i="6"/>
  <c r="N32" i="6"/>
  <c r="R32" i="6" s="1"/>
  <c r="P34" i="5"/>
  <c r="A35" i="5"/>
  <c r="J34" i="4"/>
  <c r="A35" i="4"/>
  <c r="P34" i="4"/>
  <c r="N30" i="10" l="1"/>
  <c r="G23" i="13"/>
  <c r="P23" i="13" s="1"/>
  <c r="L32" i="10"/>
  <c r="F25" i="13" s="1"/>
  <c r="Q25" i="13" s="1"/>
  <c r="E25" i="13"/>
  <c r="M32" i="9"/>
  <c r="N32" i="9" s="1"/>
  <c r="R32" i="9" s="1"/>
  <c r="J32" i="10"/>
  <c r="D25" i="13" s="1"/>
  <c r="O25" i="13" s="1"/>
  <c r="H31" i="10"/>
  <c r="S31" i="10" s="1"/>
  <c r="I24" i="13"/>
  <c r="T24" i="13" s="1"/>
  <c r="M32" i="10"/>
  <c r="G25" i="13" s="1"/>
  <c r="P25" i="13" s="1"/>
  <c r="K33" i="10"/>
  <c r="E26" i="13" s="1"/>
  <c r="G33" i="10"/>
  <c r="J26" i="13" s="1"/>
  <c r="U26" i="13" s="1"/>
  <c r="I33" i="10"/>
  <c r="C26" i="13" s="1"/>
  <c r="N26" i="13" s="1"/>
  <c r="K33" i="9"/>
  <c r="L33" i="9"/>
  <c r="G33" i="9"/>
  <c r="I33" i="9"/>
  <c r="J33" i="9" s="1"/>
  <c r="O31" i="9"/>
  <c r="S31" i="9"/>
  <c r="K33" i="8"/>
  <c r="G33" i="8"/>
  <c r="M32" i="8"/>
  <c r="L33" i="6"/>
  <c r="M33" i="6" s="1"/>
  <c r="N33" i="6" s="1"/>
  <c r="R33" i="6" s="1"/>
  <c r="K34" i="6"/>
  <c r="L34" i="6"/>
  <c r="M34" i="6" s="1"/>
  <c r="G34" i="6"/>
  <c r="I35" i="6" s="1"/>
  <c r="K35" i="5"/>
  <c r="L35" i="5" s="1"/>
  <c r="G35" i="5"/>
  <c r="I35" i="5"/>
  <c r="J35" i="5" s="1"/>
  <c r="M34" i="5"/>
  <c r="N34" i="5" s="1"/>
  <c r="R34" i="5" s="1"/>
  <c r="C33" i="5"/>
  <c r="D32" i="5"/>
  <c r="K35" i="4"/>
  <c r="G35" i="4"/>
  <c r="L35" i="4"/>
  <c r="I35" i="4"/>
  <c r="J35" i="4" s="1"/>
  <c r="R30" i="4"/>
  <c r="N31" i="4"/>
  <c r="C35" i="4"/>
  <c r="D34" i="4"/>
  <c r="Q31" i="9"/>
  <c r="Q30" i="6"/>
  <c r="O30" i="6"/>
  <c r="F31" i="6"/>
  <c r="H31" i="6" s="1"/>
  <c r="S31" i="6" s="1"/>
  <c r="F31" i="5"/>
  <c r="H31" i="5" s="1"/>
  <c r="S31" i="5" s="1"/>
  <c r="Q30" i="5"/>
  <c r="O30" i="5"/>
  <c r="E32" i="4"/>
  <c r="F31" i="4"/>
  <c r="H31" i="4" s="1"/>
  <c r="S31" i="4" s="1"/>
  <c r="Q30" i="4"/>
  <c r="O30" i="4"/>
  <c r="P33" i="10"/>
  <c r="A34" i="10"/>
  <c r="J33" i="10"/>
  <c r="D26" i="13" s="1"/>
  <c r="O26" i="13" s="1"/>
  <c r="F32" i="10"/>
  <c r="H32" i="9"/>
  <c r="P33" i="9"/>
  <c r="A34" i="9"/>
  <c r="C34" i="9"/>
  <c r="D33" i="9"/>
  <c r="F33" i="9" s="1"/>
  <c r="Q31" i="8"/>
  <c r="O31" i="8"/>
  <c r="D32" i="8"/>
  <c r="F32" i="8" s="1"/>
  <c r="H32" i="8" s="1"/>
  <c r="S32" i="8" s="1"/>
  <c r="C33" i="8"/>
  <c r="A34" i="8"/>
  <c r="J33" i="8"/>
  <c r="P33" i="8"/>
  <c r="N32" i="8"/>
  <c r="R32" i="8" s="1"/>
  <c r="J34" i="6"/>
  <c r="A35" i="6"/>
  <c r="P34" i="6"/>
  <c r="P35" i="5"/>
  <c r="I39" i="5" s="1"/>
  <c r="P35" i="4"/>
  <c r="I39" i="4" s="1"/>
  <c r="M35" i="5" l="1"/>
  <c r="Q31" i="10"/>
  <c r="K24" i="13" s="1"/>
  <c r="V24" i="13" s="1"/>
  <c r="O31" i="10"/>
  <c r="I34" i="8"/>
  <c r="L33" i="10"/>
  <c r="F26" i="13" s="1"/>
  <c r="Q26" i="13" s="1"/>
  <c r="R30" i="10"/>
  <c r="H23" i="13"/>
  <c r="N31" i="10"/>
  <c r="H32" i="10"/>
  <c r="S32" i="10" s="1"/>
  <c r="I25" i="13"/>
  <c r="T25" i="13" s="1"/>
  <c r="M35" i="4"/>
  <c r="K34" i="10"/>
  <c r="E27" i="13" s="1"/>
  <c r="L34" i="10"/>
  <c r="F27" i="13" s="1"/>
  <c r="Q27" i="13" s="1"/>
  <c r="G34" i="10"/>
  <c r="J27" i="13" s="1"/>
  <c r="U27" i="13" s="1"/>
  <c r="I34" i="10"/>
  <c r="C27" i="13" s="1"/>
  <c r="N27" i="13" s="1"/>
  <c r="I34" i="9"/>
  <c r="J34" i="9" s="1"/>
  <c r="M33" i="9"/>
  <c r="N33" i="9" s="1"/>
  <c r="R33" i="9" s="1"/>
  <c r="K34" i="9"/>
  <c r="L34" i="9" s="1"/>
  <c r="G34" i="9"/>
  <c r="Q32" i="9"/>
  <c r="S32" i="9"/>
  <c r="K34" i="8"/>
  <c r="G34" i="8"/>
  <c r="L33" i="8"/>
  <c r="M33" i="8" s="1"/>
  <c r="N33" i="8" s="1"/>
  <c r="R33" i="8" s="1"/>
  <c r="K35" i="6"/>
  <c r="L35" i="6"/>
  <c r="M35" i="6" s="1"/>
  <c r="G35" i="6"/>
  <c r="C34" i="5"/>
  <c r="D33" i="5"/>
  <c r="R31" i="4"/>
  <c r="N32" i="4"/>
  <c r="D35" i="4"/>
  <c r="C29" i="1"/>
  <c r="O32" i="9"/>
  <c r="F32" i="4"/>
  <c r="H32" i="4" s="1"/>
  <c r="S32" i="4" s="1"/>
  <c r="E33" i="4"/>
  <c r="F32" i="5"/>
  <c r="H32" i="5" s="1"/>
  <c r="S32" i="5" s="1"/>
  <c r="O31" i="6"/>
  <c r="Q31" i="6"/>
  <c r="Q31" i="4"/>
  <c r="O31" i="4"/>
  <c r="Q31" i="5"/>
  <c r="O31" i="5"/>
  <c r="F32" i="6"/>
  <c r="H32" i="6" s="1"/>
  <c r="S32" i="6" s="1"/>
  <c r="F33" i="10"/>
  <c r="J34" i="10"/>
  <c r="D27" i="13" s="1"/>
  <c r="O27" i="13" s="1"/>
  <c r="A35" i="10"/>
  <c r="P34" i="10"/>
  <c r="H33" i="9"/>
  <c r="A35" i="9"/>
  <c r="P34" i="9"/>
  <c r="C35" i="9"/>
  <c r="D34" i="9"/>
  <c r="F34" i="9" s="1"/>
  <c r="Q32" i="8"/>
  <c r="O32" i="8"/>
  <c r="J34" i="8"/>
  <c r="A35" i="8"/>
  <c r="P34" i="8"/>
  <c r="C34" i="8"/>
  <c r="D33" i="8"/>
  <c r="F33" i="8" s="1"/>
  <c r="H33" i="8" s="1"/>
  <c r="S33" i="8" s="1"/>
  <c r="I38" i="5"/>
  <c r="I38" i="4"/>
  <c r="P35" i="6"/>
  <c r="I39" i="6" s="1"/>
  <c r="J35" i="6"/>
  <c r="N34" i="6"/>
  <c r="R34" i="6" s="1"/>
  <c r="N35" i="5"/>
  <c r="M33" i="10" l="1"/>
  <c r="G26" i="13" s="1"/>
  <c r="P26" i="13" s="1"/>
  <c r="M34" i="9"/>
  <c r="Q32" i="10"/>
  <c r="K25" i="13" s="1"/>
  <c r="V25" i="13" s="1"/>
  <c r="R31" i="10"/>
  <c r="H24" i="13"/>
  <c r="N32" i="10"/>
  <c r="O32" i="10"/>
  <c r="H33" i="10"/>
  <c r="S33" i="10" s="1"/>
  <c r="I26" i="13"/>
  <c r="T26" i="13" s="1"/>
  <c r="M34" i="10"/>
  <c r="G27" i="13" s="1"/>
  <c r="P27" i="13" s="1"/>
  <c r="K35" i="10"/>
  <c r="E28" i="13" s="1"/>
  <c r="E29" i="13" s="1"/>
  <c r="G35" i="10"/>
  <c r="J28" i="13" s="1"/>
  <c r="U28" i="13" s="1"/>
  <c r="I35" i="10"/>
  <c r="C28" i="13" s="1"/>
  <c r="K35" i="9"/>
  <c r="L35" i="9"/>
  <c r="G35" i="9"/>
  <c r="I38" i="9" s="1"/>
  <c r="Q33" i="9"/>
  <c r="S33" i="9"/>
  <c r="I35" i="9"/>
  <c r="J35" i="9" s="1"/>
  <c r="K35" i="8"/>
  <c r="G35" i="8"/>
  <c r="I38" i="8" s="1"/>
  <c r="I35" i="8"/>
  <c r="J35" i="8" s="1"/>
  <c r="L34" i="8"/>
  <c r="M34" i="8" s="1"/>
  <c r="N34" i="8" s="1"/>
  <c r="R34" i="8" s="1"/>
  <c r="E41" i="5"/>
  <c r="R35" i="5"/>
  <c r="I42" i="5" s="1"/>
  <c r="D34" i="5"/>
  <c r="C35" i="5"/>
  <c r="R32" i="4"/>
  <c r="N33" i="4"/>
  <c r="D35" i="9"/>
  <c r="F35" i="9" s="1"/>
  <c r="E16" i="1" s="1"/>
  <c r="E29" i="1"/>
  <c r="C31" i="1"/>
  <c r="C32" i="1"/>
  <c r="Q32" i="6"/>
  <c r="O32" i="6"/>
  <c r="F33" i="4"/>
  <c r="H33" i="4" s="1"/>
  <c r="S33" i="4" s="1"/>
  <c r="E34" i="4"/>
  <c r="F33" i="5"/>
  <c r="H33" i="5" s="1"/>
  <c r="S33" i="5" s="1"/>
  <c r="Q32" i="5"/>
  <c r="O32" i="5"/>
  <c r="F33" i="6"/>
  <c r="H33" i="6" s="1"/>
  <c r="S33" i="6" s="1"/>
  <c r="Q32" i="4"/>
  <c r="O32" i="4"/>
  <c r="P35" i="10"/>
  <c r="I39" i="10" s="1"/>
  <c r="J35" i="10"/>
  <c r="D28" i="13" s="1"/>
  <c r="F35" i="10"/>
  <c r="F34" i="10"/>
  <c r="Q33" i="10"/>
  <c r="K26" i="13" s="1"/>
  <c r="V26" i="13" s="1"/>
  <c r="O33" i="9"/>
  <c r="H34" i="9"/>
  <c r="O34" i="9" s="1"/>
  <c r="N34" i="9"/>
  <c r="R34" i="9" s="1"/>
  <c r="P35" i="9"/>
  <c r="I39" i="9" s="1"/>
  <c r="P35" i="8"/>
  <c r="I39" i="8" s="1"/>
  <c r="Q33" i="8"/>
  <c r="O33" i="8"/>
  <c r="C35" i="8"/>
  <c r="D34" i="8"/>
  <c r="F34" i="8" s="1"/>
  <c r="H34" i="8" s="1"/>
  <c r="S34" i="8" s="1"/>
  <c r="N35" i="6"/>
  <c r="N11" i="12" s="1"/>
  <c r="I38" i="6"/>
  <c r="O33" i="10" l="1"/>
  <c r="N28" i="13"/>
  <c r="C29" i="13"/>
  <c r="G35" i="12"/>
  <c r="E37" i="12"/>
  <c r="F36" i="12"/>
  <c r="H37" i="12"/>
  <c r="G38" i="12"/>
  <c r="J33" i="12"/>
  <c r="D37" i="12"/>
  <c r="D38" i="12"/>
  <c r="J36" i="12"/>
  <c r="D34" i="12"/>
  <c r="D35" i="12"/>
  <c r="H32" i="12"/>
  <c r="G36" i="12"/>
  <c r="E38" i="12"/>
  <c r="I37" i="12"/>
  <c r="F35" i="12"/>
  <c r="I36" i="12"/>
  <c r="G32" i="12"/>
  <c r="F37" i="12"/>
  <c r="F34" i="12"/>
  <c r="J35" i="12"/>
  <c r="H34" i="12"/>
  <c r="E34" i="12"/>
  <c r="J38" i="12"/>
  <c r="J37" i="12"/>
  <c r="G37" i="12"/>
  <c r="H35" i="12"/>
  <c r="D32" i="12"/>
  <c r="I32" i="12"/>
  <c r="G33" i="12"/>
  <c r="I35" i="12"/>
  <c r="E36" i="12"/>
  <c r="I34" i="12"/>
  <c r="H33" i="12"/>
  <c r="I33" i="12"/>
  <c r="J32" i="12"/>
  <c r="D36" i="12"/>
  <c r="G34" i="12"/>
  <c r="I38" i="12"/>
  <c r="D33" i="12"/>
  <c r="F38" i="12"/>
  <c r="H36" i="12"/>
  <c r="F32" i="12"/>
  <c r="H38" i="12"/>
  <c r="J34" i="12"/>
  <c r="F33" i="12"/>
  <c r="E32" i="12"/>
  <c r="E33" i="12"/>
  <c r="E35" i="12"/>
  <c r="D23" i="12"/>
  <c r="H25" i="12"/>
  <c r="J24" i="12"/>
  <c r="I25" i="12"/>
  <c r="J23" i="12"/>
  <c r="F28" i="12"/>
  <c r="F26" i="12"/>
  <c r="G28" i="12"/>
  <c r="I27" i="12"/>
  <c r="E24" i="12"/>
  <c r="I28" i="12"/>
  <c r="I22" i="12"/>
  <c r="J28" i="12"/>
  <c r="G22" i="12"/>
  <c r="J26" i="12"/>
  <c r="F24" i="12"/>
  <c r="G25" i="12"/>
  <c r="G23" i="12"/>
  <c r="D27" i="12"/>
  <c r="H28" i="12"/>
  <c r="H24" i="12"/>
  <c r="E28" i="12"/>
  <c r="G27" i="12"/>
  <c r="I26" i="12"/>
  <c r="H26" i="12"/>
  <c r="I23" i="12"/>
  <c r="E23" i="12"/>
  <c r="J25" i="12"/>
  <c r="G24" i="12"/>
  <c r="F23" i="12"/>
  <c r="E27" i="12"/>
  <c r="F27" i="12"/>
  <c r="I24" i="12"/>
  <c r="J27" i="12"/>
  <c r="F22" i="12"/>
  <c r="H23" i="12"/>
  <c r="J22" i="12"/>
  <c r="E25" i="12"/>
  <c r="D22" i="12"/>
  <c r="G26" i="12"/>
  <c r="D26" i="12"/>
  <c r="D24" i="12"/>
  <c r="E26" i="12"/>
  <c r="D28" i="12"/>
  <c r="F25" i="12"/>
  <c r="H27" i="12"/>
  <c r="D25" i="12"/>
  <c r="H22" i="12"/>
  <c r="E22" i="12"/>
  <c r="I38" i="10"/>
  <c r="O28" i="13"/>
  <c r="D29" i="13"/>
  <c r="R32" i="10"/>
  <c r="H25" i="13"/>
  <c r="N33" i="10"/>
  <c r="L35" i="10"/>
  <c r="F28" i="13" s="1"/>
  <c r="H34" i="10"/>
  <c r="S34" i="10" s="1"/>
  <c r="I27" i="13"/>
  <c r="T27" i="13" s="1"/>
  <c r="I16" i="1"/>
  <c r="I28" i="13"/>
  <c r="T28" i="13" s="1"/>
  <c r="M35" i="9"/>
  <c r="N35" i="9" s="1"/>
  <c r="Q34" i="9"/>
  <c r="S34" i="9"/>
  <c r="L35" i="8"/>
  <c r="M35" i="8" s="1"/>
  <c r="N35" i="8" s="1"/>
  <c r="E41" i="6"/>
  <c r="R35" i="6"/>
  <c r="I42" i="6" s="1"/>
  <c r="F29" i="1"/>
  <c r="D35" i="5"/>
  <c r="R33" i="4"/>
  <c r="N34" i="4"/>
  <c r="D35" i="8"/>
  <c r="F35" i="8" s="1"/>
  <c r="D16" i="1" s="1"/>
  <c r="D29" i="1"/>
  <c r="E31" i="1"/>
  <c r="E32" i="1"/>
  <c r="E33" i="1"/>
  <c r="E35" i="4"/>
  <c r="F34" i="4"/>
  <c r="H34" i="4" s="1"/>
  <c r="S34" i="4" s="1"/>
  <c r="F35" i="6"/>
  <c r="F34" i="6"/>
  <c r="H34" i="6" s="1"/>
  <c r="S34" i="6" s="1"/>
  <c r="Q33" i="6"/>
  <c r="O33" i="6"/>
  <c r="Q33" i="5"/>
  <c r="O33" i="5"/>
  <c r="F34" i="5"/>
  <c r="H34" i="5" s="1"/>
  <c r="S34" i="5" s="1"/>
  <c r="Q33" i="4"/>
  <c r="O33" i="4"/>
  <c r="H35" i="10"/>
  <c r="O35" i="10" s="1"/>
  <c r="E40" i="10" s="1"/>
  <c r="H35" i="9"/>
  <c r="O35" i="9" s="1"/>
  <c r="E40" i="9" s="1"/>
  <c r="Q34" i="8"/>
  <c r="O34" i="8"/>
  <c r="O39" i="1" l="1"/>
  <c r="F119" i="1"/>
  <c r="Q28" i="13"/>
  <c r="F29" i="13"/>
  <c r="Q34" i="10"/>
  <c r="K27" i="13" s="1"/>
  <c r="V27" i="13" s="1"/>
  <c r="M35" i="10"/>
  <c r="G28" i="13" s="1"/>
  <c r="R33" i="10"/>
  <c r="H26" i="13"/>
  <c r="N34" i="10"/>
  <c r="O34" i="10"/>
  <c r="E38" i="10"/>
  <c r="S35" i="10"/>
  <c r="E42" i="10" s="1"/>
  <c r="E41" i="9"/>
  <c r="R35" i="9"/>
  <c r="I42" i="9" s="1"/>
  <c r="I41" i="9" a="1"/>
  <c r="I41" i="9" s="1"/>
  <c r="E24" i="1" s="1"/>
  <c r="P39" i="1" s="1"/>
  <c r="S35" i="9"/>
  <c r="E42" i="9" s="1"/>
  <c r="E41" i="8"/>
  <c r="R35" i="8"/>
  <c r="I42" i="8" s="1"/>
  <c r="F31" i="1"/>
  <c r="F32" i="1"/>
  <c r="R34" i="4"/>
  <c r="N35" i="4"/>
  <c r="D31" i="1"/>
  <c r="D33" i="1"/>
  <c r="D32" i="1"/>
  <c r="E38" i="9"/>
  <c r="Q35" i="9"/>
  <c r="E17" i="1" s="1"/>
  <c r="I40" i="10"/>
  <c r="Q35" i="10"/>
  <c r="I40" i="9"/>
  <c r="H35" i="8"/>
  <c r="F35" i="5"/>
  <c r="F33" i="1"/>
  <c r="O34" i="5"/>
  <c r="Q34" i="5"/>
  <c r="O34" i="6"/>
  <c r="Q34" i="6"/>
  <c r="G16" i="1"/>
  <c r="H35" i="6"/>
  <c r="S35" i="6" s="1"/>
  <c r="E42" i="6" s="1"/>
  <c r="O34" i="4"/>
  <c r="Q34" i="4"/>
  <c r="C33" i="1"/>
  <c r="F35" i="4"/>
  <c r="R34" i="10" l="1"/>
  <c r="H27" i="13"/>
  <c r="N35" i="10"/>
  <c r="F118" i="1"/>
  <c r="O38" i="1"/>
  <c r="E19" i="1"/>
  <c r="D54" i="1"/>
  <c r="P28" i="13"/>
  <c r="G29" i="13"/>
  <c r="O40" i="1"/>
  <c r="F120" i="1"/>
  <c r="O37" i="1"/>
  <c r="F117" i="1"/>
  <c r="E23" i="1"/>
  <c r="H46" i="7"/>
  <c r="H47" i="7" s="1"/>
  <c r="I23" i="1"/>
  <c r="I46" i="7"/>
  <c r="I17" i="1"/>
  <c r="K28" i="13"/>
  <c r="V28" i="13" s="1"/>
  <c r="I41" i="8" a="1"/>
  <c r="I41" i="8" s="1"/>
  <c r="D24" i="1" s="1"/>
  <c r="P38" i="1" s="1"/>
  <c r="S35" i="8"/>
  <c r="E42" i="8" s="1"/>
  <c r="E41" i="4"/>
  <c r="R35" i="4"/>
  <c r="I42" i="4" s="1"/>
  <c r="H39" i="7"/>
  <c r="E39" i="9"/>
  <c r="I39" i="7"/>
  <c r="E39" i="10"/>
  <c r="Q35" i="8"/>
  <c r="E39" i="8" s="1"/>
  <c r="I40" i="8"/>
  <c r="O35" i="8"/>
  <c r="E40" i="8" s="1"/>
  <c r="E38" i="8"/>
  <c r="C16" i="1"/>
  <c r="H35" i="4"/>
  <c r="S35" i="4" s="1"/>
  <c r="E42" i="4" s="1"/>
  <c r="Q35" i="6"/>
  <c r="O35" i="6"/>
  <c r="E40" i="6" s="1"/>
  <c r="E38" i="6"/>
  <c r="I40" i="6"/>
  <c r="F16" i="1"/>
  <c r="H35" i="5"/>
  <c r="S35" i="5" s="1"/>
  <c r="E42" i="5" s="1"/>
  <c r="G23" i="1" l="1"/>
  <c r="E46" i="7"/>
  <c r="E47" i="7" s="1"/>
  <c r="H40" i="7"/>
  <c r="H42" i="7" s="1"/>
  <c r="H49" i="7"/>
  <c r="H28" i="13"/>
  <c r="R35" i="10"/>
  <c r="I42" i="10" s="1"/>
  <c r="E41" i="10"/>
  <c r="D58" i="1"/>
  <c r="E119" i="1"/>
  <c r="M39" i="1"/>
  <c r="D23" i="1"/>
  <c r="G46" i="7"/>
  <c r="G47" i="7" s="1"/>
  <c r="E22" i="1"/>
  <c r="B119" i="1"/>
  <c r="G119" i="1" s="1"/>
  <c r="H119" i="1" s="1"/>
  <c r="D50" i="1"/>
  <c r="L39" i="1"/>
  <c r="S39" i="1" s="1"/>
  <c r="I19" i="1"/>
  <c r="G54" i="1"/>
  <c r="I47" i="7"/>
  <c r="I40" i="7"/>
  <c r="I49" i="7"/>
  <c r="M42" i="1"/>
  <c r="G58" i="1"/>
  <c r="E122" i="1"/>
  <c r="D17" i="1"/>
  <c r="G39" i="7"/>
  <c r="E39" i="6"/>
  <c r="G17" i="1"/>
  <c r="E39" i="7"/>
  <c r="Q35" i="4"/>
  <c r="O35" i="4"/>
  <c r="E40" i="4" s="1"/>
  <c r="I40" i="4"/>
  <c r="E38" i="4"/>
  <c r="Q35" i="5"/>
  <c r="O35" i="5"/>
  <c r="E40" i="5" s="1"/>
  <c r="E38" i="5"/>
  <c r="I40" i="5"/>
  <c r="E40" i="7" l="1"/>
  <c r="E49" i="7"/>
  <c r="G19" i="1"/>
  <c r="F54" i="1"/>
  <c r="E21" i="1"/>
  <c r="H48" i="7"/>
  <c r="C23" i="1"/>
  <c r="C46" i="7"/>
  <c r="F23" i="1"/>
  <c r="D46" i="7"/>
  <c r="D19" i="1"/>
  <c r="C54" i="1"/>
  <c r="G40" i="7"/>
  <c r="G49" i="7"/>
  <c r="H41" i="7"/>
  <c r="C58" i="1"/>
  <c r="M38" i="1"/>
  <c r="E118" i="1"/>
  <c r="E121" i="1"/>
  <c r="F58" i="1"/>
  <c r="M41" i="1"/>
  <c r="I41" i="7"/>
  <c r="I42" i="7"/>
  <c r="I22" i="1"/>
  <c r="L42" i="1"/>
  <c r="G50" i="1"/>
  <c r="B122" i="1"/>
  <c r="G122" i="1" s="1"/>
  <c r="H122" i="1" s="1"/>
  <c r="D39" i="7"/>
  <c r="E39" i="5"/>
  <c r="F17" i="1"/>
  <c r="C39" i="7"/>
  <c r="E39" i="4"/>
  <c r="C17" i="1"/>
  <c r="E42" i="7"/>
  <c r="E41" i="7"/>
  <c r="E58" i="1" l="1"/>
  <c r="M40" i="1"/>
  <c r="E120" i="1"/>
  <c r="D40" i="7"/>
  <c r="D49" i="7"/>
  <c r="G21" i="1"/>
  <c r="E48" i="7"/>
  <c r="C47" i="7"/>
  <c r="I53" i="7"/>
  <c r="C53" i="7"/>
  <c r="H53" i="7"/>
  <c r="G53" i="7"/>
  <c r="F19" i="1"/>
  <c r="E54" i="1"/>
  <c r="D47" i="7"/>
  <c r="D53" i="7"/>
  <c r="B58" i="1"/>
  <c r="M37" i="1"/>
  <c r="E117" i="1"/>
  <c r="E53" i="7"/>
  <c r="C19" i="1"/>
  <c r="B54" i="1"/>
  <c r="G42" i="7"/>
  <c r="G41" i="7"/>
  <c r="G22" i="1"/>
  <c r="L41" i="1"/>
  <c r="S41" i="1" s="1"/>
  <c r="B121" i="1"/>
  <c r="G121" i="1" s="1"/>
  <c r="H121" i="1" s="1"/>
  <c r="F50" i="1"/>
  <c r="C40" i="7"/>
  <c r="C49" i="7"/>
  <c r="D22" i="1"/>
  <c r="B118" i="1"/>
  <c r="G118" i="1" s="1"/>
  <c r="H118" i="1" s="1"/>
  <c r="C50" i="1"/>
  <c r="L38" i="1"/>
  <c r="S38" i="1" s="1"/>
  <c r="I21" i="1"/>
  <c r="I48" i="7"/>
  <c r="S42" i="1"/>
  <c r="D42" i="7"/>
  <c r="D41" i="7"/>
  <c r="F21" i="1" l="1"/>
  <c r="D48" i="7"/>
  <c r="R40" i="1"/>
  <c r="I52" i="7"/>
  <c r="C52" i="7"/>
  <c r="F52" i="7"/>
  <c r="E52" i="7"/>
  <c r="H52" i="7"/>
  <c r="G52" i="7"/>
  <c r="R37" i="1"/>
  <c r="R42" i="1"/>
  <c r="R41" i="1"/>
  <c r="R39" i="1"/>
  <c r="I54" i="7"/>
  <c r="G54" i="7"/>
  <c r="C54" i="7"/>
  <c r="E54" i="7"/>
  <c r="H54" i="7"/>
  <c r="C41" i="7"/>
  <c r="D54" i="7"/>
  <c r="C42" i="7"/>
  <c r="D52" i="7"/>
  <c r="D21" i="1"/>
  <c r="G48" i="7"/>
  <c r="F22" i="1"/>
  <c r="L40" i="1"/>
  <c r="Q38" i="1" s="1"/>
  <c r="B120" i="1"/>
  <c r="G120" i="1" s="1"/>
  <c r="H120" i="1" s="1"/>
  <c r="E50" i="1"/>
  <c r="C22" i="1"/>
  <c r="B117" i="1"/>
  <c r="G117" i="1" s="1"/>
  <c r="H117" i="1" s="1"/>
  <c r="B50" i="1"/>
  <c r="L37" i="1"/>
  <c r="R38" i="1"/>
  <c r="S40" i="1" l="1"/>
  <c r="Q40" i="1"/>
  <c r="Q41" i="1"/>
  <c r="S37" i="1"/>
  <c r="Q42" i="1"/>
  <c r="Q39" i="1"/>
  <c r="Q37" i="1"/>
  <c r="C21" i="1"/>
  <c r="C48" i="7"/>
  <c r="D40" i="1" l="1"/>
  <c r="H41" i="1"/>
  <c r="H42" i="1"/>
  <c r="I37" i="1"/>
  <c r="F40" i="1"/>
  <c r="G39" i="1"/>
  <c r="D38" i="1"/>
  <c r="D39" i="1"/>
  <c r="C41" i="1"/>
  <c r="B37" i="1"/>
  <c r="C44" i="1" s="1"/>
  <c r="D41" i="1"/>
  <c r="F37" i="1"/>
  <c r="C42" i="1"/>
  <c r="E42" i="1"/>
  <c r="G42" i="1"/>
  <c r="E41" i="1"/>
  <c r="G41" i="1"/>
  <c r="I41" i="1"/>
  <c r="I38" i="1"/>
  <c r="G40" i="1"/>
  <c r="F41" i="1"/>
  <c r="F38" i="1"/>
  <c r="D42" i="1"/>
  <c r="H37" i="1"/>
  <c r="C39" i="1"/>
  <c r="I40" i="1"/>
  <c r="I42" i="1"/>
  <c r="I39" i="1"/>
  <c r="H40" i="1"/>
  <c r="E38" i="1"/>
  <c r="C40" i="1"/>
  <c r="C37" i="1"/>
  <c r="F42" i="1"/>
  <c r="G38" i="1"/>
  <c r="H38" i="1"/>
  <c r="B41" i="1"/>
  <c r="C38" i="1"/>
  <c r="E37" i="1"/>
  <c r="E39" i="1"/>
  <c r="D37" i="1"/>
  <c r="B42" i="1"/>
  <c r="E44" i="1" s="1"/>
  <c r="E40" i="1"/>
  <c r="B39" i="1"/>
  <c r="H39" i="1"/>
  <c r="B38" i="1"/>
  <c r="G37" i="1"/>
  <c r="F39" i="1"/>
  <c r="B40" i="1"/>
  <c r="G4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Tian chuin Chen</author>
  </authors>
  <commentList>
    <comment ref="E27" authorId="0" shapeId="0" xr:uid="{47F8E39B-0925-F54D-B01B-21AC6A1DD023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Type your age here → auto-syncs to Assumptions!C4</t>
        </r>
      </text>
    </comment>
    <comment ref="E28" authorId="0" shapeId="0" xr:uid="{0E275C24-493E-364D-A8C3-78E4A110D7B0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Type your analysis horizon → auto-syncs to Assumptions!C5</t>
        </r>
      </text>
    </comment>
    <comment ref="E29" authorId="0" shapeId="0" xr:uid="{86696BA0-08F9-ED45-87B9-BD28882259FC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Type your total net worth → auto-syncs to Assumptions!C7</t>
        </r>
      </text>
    </comment>
    <comment ref="E30" authorId="0" shapeId="0" xr:uid="{E7A15457-3C48-BE46-9740-3AB26338EF96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Type your CPF OA balance → auto-syncs to Assumptions!C8</t>
        </r>
      </text>
    </comment>
    <comment ref="E31" authorId="0" shapeId="0" xr:uid="{7EFCB4EB-A7D2-0E42-80AF-BC34AFC25109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CPF OA interest rate → auto-syncs to Assumptions!C9</t>
        </r>
      </text>
    </comment>
    <comment ref="E32" authorId="0" shapeId="0" xr:uid="{FD22F129-1A21-E442-BF04-585F7BEBE97F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DROPDOWN: Type exactly "SC 1st Property", "SC 2nd Property", or "PR" → auto-syncs to Assumptions!C10</t>
        </r>
      </text>
    </comment>
    <comment ref="E37" authorId="0" shapeId="0" xr:uid="{53723305-F85C-7E4C-A557-F4655AFDA3EE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6M SORA rate → auto-syncs to Assumptions!C13</t>
        </r>
      </text>
    </comment>
    <comment ref="E38" authorId="0" shapeId="0" xr:uid="{A230EDDE-6013-354F-AF9B-8B46188BF157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Bank spread → auto-syncs to Assumptions!C14</t>
        </r>
      </text>
    </comment>
    <comment ref="E39" authorId="0" shapeId="0" xr:uid="{C1B19D46-7F86-C044-87C6-55DE4A7F10D5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Stress mortgage rate → auto-syncs to Assumptions!C16</t>
        </r>
      </text>
    </comment>
    <comment ref="E40" authorId="0" shapeId="0" xr:uid="{1E5AE55E-5E3D-E24B-9842-C06302B6BD52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Severe mortgage rate → auto-syncs to Assumptions!C17</t>
        </r>
      </text>
    </comment>
    <comment ref="E41" authorId="0" shapeId="0" xr:uid="{100346C3-641F-C14B-B140-1266534EF272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DROPDOWN: Type exactly "Base", "Stress", or "Severe" → auto-syncs to Assumptions!C18</t>
        </r>
      </text>
    </comment>
    <comment ref="E47" authorId="0" shapeId="0" xr:uid="{807D24C2-0EF2-4F4E-A99A-DE80E61F10D4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LTV Ratio → auto-syncs to Assumptions!C22</t>
        </r>
      </text>
    </comment>
    <comment ref="E48" authorId="0" shapeId="0" xr:uid="{A4BD226B-5076-8646-A03E-4D5E7E6112BC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CPF usage % of property price → auto-syncs to Assumptions!C24</t>
        </r>
      </text>
    </comment>
    <comment ref="E49" authorId="0" shapeId="0" xr:uid="{77CE1EC3-D6D3-9646-90BF-6280DB70B548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Mortgage tenure in years → auto-syncs to Assumptions!C26</t>
        </r>
      </text>
    </comment>
    <comment ref="E62" authorId="0" shapeId="0" xr:uid="{08A085EE-5AD8-914A-A316-5D3B5CAF20DD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Type exactly "Owner-Occupied" or "Investment" → auto-syncs to Assumptions!C39</t>
        </r>
      </text>
    </comment>
    <comment ref="E64" authorId="0" shapeId="0" xr:uid="{F6E7ECCE-C486-1C49-871C-40BD65003B64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General inflation rate → auto-syncs to Assumptions!C43</t>
        </r>
      </text>
    </comment>
    <comment ref="E69" authorId="0" shapeId="0" xr:uid="{22928630-256C-0D46-BA8E-A45E518135F1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60/40 portfolio CAGR → auto-syncs to Assumptions!C54</t>
        </r>
      </text>
    </comment>
    <comment ref="E70" authorId="0" shapeId="0" xr:uid="{FD3F62B2-A7E8-ED44-A0BA-A27FE99F02CC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Portfolio std dev → auto-syncs to Assumptions!C55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Tian chuin Chen</author>
  </authors>
  <commentList>
    <comment ref="F31" authorId="0" shapeId="0" xr:uid="{1829B00E-34E0-B844-A161-B2657FC19BC9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Source: HDB Resale Statistics (hdb.gov.sg), Q4 2025. Estimated for 5-room, 2005-build, mature estate (~78yr lease). Avg mature 5-room ~$931K (Q3 2025), adjusted for 21yr age.</t>
        </r>
      </text>
    </comment>
    <comment ref="G31" authorId="0" shapeId="0" xr:uid="{C788F99F-FABD-554C-A299-10A133BCB663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HDB Resale Statistics (hdb.gov.sg), Q4 2025. Estimated for 5-room, 2015-build, mature estate (~88yr lease). Just-past-MOP premium. Avg mature 5-room ~$931K (Q3 2025).</t>
        </r>
      </text>
    </comment>
    <comment ref="H31" authorId="0" shapeId="0" xr:uid="{ED07B101-3F22-534C-AD5E-9A1F7B115DB1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Source: URA market data, typical freehold landed in prime D10/D11 (Bukit Timah/Holland), semi-detached ~4,500 sqft built-up.</t>
        </r>
      </text>
    </comment>
    <comment ref="C34" authorId="0" shapeId="0" xr:uid="{97449873-292E-0445-83DA-0E0BC60A4B28}">
      <text>
        <r>
          <rPr>
            <b/>
            <sz val="10"/>
            <color rgb="FF000000"/>
            <rFont val="Tahoma"/>
            <family val="2"/>
          </rPr>
          <t xml:space="preserve">Looks up from Scenario Tables sheet.
</t>
        </r>
        <r>
          <rPr>
            <b/>
            <sz val="10"/>
            <color rgb="FF000000"/>
            <rFont val="Tahoma"/>
            <family val="2"/>
          </rPr>
          <t xml:space="preserve">Pessimistic/Base/Optimistic/Custom rates are all editable per-property in 'Scenario Tables'!C5:H8.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Historical context: Singapore private residential prices grew ~3.1% CAGR (2000-2024), with wide variance. HDB resale ~2.5% CAGR.</t>
        </r>
      </text>
    </comment>
    <comment ref="F34" authorId="0" shapeId="0" xr:uid="{428C6AAF-EAF1-724A-9A4E-EA17CD6977AB}">
      <text>
        <r>
          <rPr>
            <b/>
            <sz val="10"/>
            <color rgb="FF000000"/>
            <rFont val="Tahoma"/>
            <family val="2"/>
          </rPr>
          <t>Same lookup from Scenario Tables. HDB 2005 (78yr lease) — Bala curve handles lease-specific decay.</t>
        </r>
      </text>
    </comment>
    <comment ref="G34" authorId="0" shapeId="0" xr:uid="{AFA73385-77B5-6747-8C01-A1EFCA806415}">
      <text>
        <r>
          <rPr>
            <b/>
            <sz val="10"/>
            <color rgb="FF000000"/>
            <rFont val="Tahoma"/>
            <family val="2"/>
          </rPr>
          <t>Same lookup from Scenario Tables. HDB 2015 (88yr lease) — Bala curve handles lease-specific decay.</t>
        </r>
      </text>
    </comment>
    <comment ref="H34" authorId="0" shapeId="0" xr:uid="{DB41B85E-EEB7-C143-BC98-F357EA67CFC3}">
      <text>
        <r>
          <rPr>
            <b/>
            <sz val="10"/>
            <color rgb="FF000000"/>
            <rFont val="Tahoma"/>
            <family val="2"/>
          </rPr>
          <t>Same lookup from Scenario Tables. Landed CAGR context: URA landed index ~5.9% CAGR (2009-2023). Bala factor = 1.0 (freehold).</t>
        </r>
      </text>
    </comment>
    <comment ref="H35" authorId="0" shapeId="0" xr:uid="{F2A33A6E-34EB-C940-8CBF-34C6C9AFFD9E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Imputed monthly rent. Gross yield ~2.6% on $7M. Prime landed yields 2.7-3.0% per bambooroutes.com. Conservative estimate for large D10/D11 landed.</t>
        </r>
      </text>
    </comment>
    <comment ref="C37" authorId="0" shapeId="0" xr:uid="{B5683183-456A-6B40-A4B2-21921044C76C}">
      <text>
        <r>
          <rPr>
            <b/>
            <sz val="10"/>
            <color rgb="FF000000"/>
            <rFont val="Tahoma"/>
            <family val="2"/>
          </rPr>
          <t>Source: Nee Soon TC (nstc.org.sg), ~$90/mo. Grows at Annual Rent Growth rate in schedule.</t>
        </r>
      </text>
    </comment>
    <comment ref="D37" authorId="0" shapeId="0" xr:uid="{D40666BD-6BCE-9049-A4EF-F803128F0917}">
      <text>
        <r>
          <rPr>
            <b/>
            <sz val="10"/>
            <color rgb="FF000000"/>
            <rFont val="Tahoma"/>
            <family val="2"/>
          </rPr>
          <t>Source: 99.co, typical 3BR condo $500/mo. Grows at Annual Rent Growth rate in schedule.</t>
        </r>
      </text>
    </comment>
    <comment ref="E37" authorId="0" shapeId="0" xr:uid="{674F493C-8C4B-E543-B00A-95B182DEA54A}">
      <text>
        <r>
          <rPr>
            <b/>
            <sz val="10"/>
            <color rgb="FF000000"/>
            <rFont val="Tahoma"/>
            <family val="2"/>
          </rPr>
          <t>Source: 99.co, premium FH 3BR $700/mo. Grows at Annual Rent Growth rate in schedule.</t>
        </r>
      </text>
    </comment>
    <comment ref="F37" authorId="0" shapeId="0" xr:uid="{3A7B9E84-8DD9-AE42-9157-E342805DF60E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Source: Town Council (TC) service &amp; conservancy charges, ~$100/mo for 5-room. Grows at Annual Rent Growth rate.</t>
        </r>
      </text>
    </comment>
    <comment ref="G37" authorId="0" shapeId="0" xr:uid="{605BB4CA-F7A8-0F45-9BB7-C781C234C87B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Town Council (TC) service &amp; conservancy charges, ~$110/mo for newer 5-room (modern estate). Grows at Annual Rent Growth rate.</t>
        </r>
      </text>
    </comment>
    <comment ref="H37" authorId="0" shapeId="0" xr:uid="{9A6B72B6-F314-DF4C-8078-DEC644E64917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Annual maintenance for freehold landed: garden upkeep, exterior maintenance, pest control, general repairs ~$1,500/mo. No condo MCST. Source: homejourney.sg est.</t>
        </r>
      </text>
    </comment>
    <comment ref="C38" authorId="0" shapeId="0" xr:uid="{588EAFD5-D52D-F140-A7CF-B006121E210E}">
      <text>
        <r>
          <rPr>
            <b/>
            <sz val="10"/>
            <color rgb="FF000000"/>
            <rFont val="Tahoma"/>
            <family val="2"/>
          </rPr>
          <t>AV = Imputed Rent (Col K). Uses 2025 IRAS OO progressive bands. Source: iras.gov.sg</t>
        </r>
      </text>
    </comment>
    <comment ref="D38" authorId="0" shapeId="0" xr:uid="{39A73E6E-CFE6-BD42-B3C8-627B71163BDA}">
      <text>
        <r>
          <rPr>
            <b/>
            <sz val="10"/>
            <color rgb="FF000000"/>
            <rFont val="Tahoma"/>
            <family val="2"/>
          </rPr>
          <t>AV = Imputed Rent (Col K). Uses 2025 IRAS OO progressive bands. Source: iras.gov.sg</t>
        </r>
      </text>
    </comment>
    <comment ref="E38" authorId="0" shapeId="0" xr:uid="{6B30165A-4460-5945-AB45-1A85A69A8417}">
      <text>
        <r>
          <rPr>
            <b/>
            <sz val="10"/>
            <color rgb="FF000000"/>
            <rFont val="Tahoma"/>
            <family val="2"/>
          </rPr>
          <t>AV = Imputed Rent (Col K). Uses 2025 IRAS OO progressive bands. Source: iras.gov.sg</t>
        </r>
      </text>
    </comment>
    <comment ref="F38" authorId="0" shapeId="0" xr:uid="{F6E2E5F9-9418-9545-8708-BEEA9207377C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AV = Imputed Rent (Col K). Uses 2025 IRAS OO progressive bands. Source: iras.gov.sg</t>
        </r>
      </text>
    </comment>
    <comment ref="G38" authorId="0" shapeId="0" xr:uid="{75A481FA-9E4A-5F44-BB46-DCD0CB77D917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AV = Imputed Rent (Col K). Uses 2025 IRAS OO progressive bands. Source: iras.gov.sg</t>
        </r>
      </text>
    </comment>
    <comment ref="H38" authorId="0" shapeId="0" xr:uid="{E16B85F9-FE43-6842-9A95-149FB12BC691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AV = Imputed Rent (Col K). Uses 2025 IRAS OO progressive bands. Source: iras.gov.sg</t>
        </r>
      </text>
    </comment>
    <comment ref="C39" authorId="0" shapeId="0" xr:uid="{6463C10F-A476-014F-8CD0-E555EBF9B918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Toggle: "Owner-Occupied" or "Investment". Affects rental income treatment, property tax bands, and holding cost calculations in all property sheets.</t>
        </r>
      </text>
    </comment>
    <comment ref="C40" authorId="0" shapeId="0" xr:uid="{721CD57E-1CAD-EB44-9D22-3EB3AC0A8E84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Only applies in Investment mode. Default 8.33% ≈ 1 month vacancy/year. Industry standard for SG residential.</t>
        </r>
      </text>
    </comment>
    <comment ref="C41" authorId="0" shapeId="0" xr:uid="{74774F44-5EA7-B748-A225-3FA512ADF6BA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Only applies in Investment mode. Property management fee as % of gross rent. SG typical: 8-12% for residential. Set to 0 if self-managed.</t>
        </r>
      </text>
    </comment>
    <comment ref="C42" authorId="0" shapeId="0" xr:uid="{15721F24-65C0-DA49-AD24-6BA577DE8817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Only applies in Investment mode. Effective marginal income tax rate on net rental income. SG resident rates: 0-24% depending on total income. 15% is a moderate assumption.</t>
        </r>
      </text>
    </comment>
    <comment ref="C43" authorId="0" shapeId="0" xr:uid="{20B25532-67A2-E647-930D-FD8462E74079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Singapore core inflation assumption. Used to deflate nominal returns to real (inflation-adjusted) values. MAS long-term target ~2%. Set 2.5% as moderate assumption.</t>
        </r>
      </text>
    </comment>
    <comment ref="C47" authorId="0" shapeId="0" xr:uid="{22D62898-B727-C841-BA74-26DB073120BE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Looks up ABSD rate from Scenario Tables sheet based on Residency Status dropdown (C10). Edit rates in 'Scenario Tables'!C18:C20.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Tian chuin Chen</author>
  </authors>
  <commentList>
    <comment ref="N4" authorId="0" shapeId="0" xr:uid="{A9DB9D76-FD33-4048-8DC6-E71234568EFD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Loan Amount = Purchase * LTV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Tian chuin Chen</author>
  </authors>
  <commentList>
    <comment ref="C8" authorId="0" shapeId="0" xr:uid="{100FE555-7D8A-9A4A-A333-19A0B45AA83D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Links to custom input cell in Assumptions!I34</t>
        </r>
      </text>
    </comment>
    <comment ref="H8" authorId="0" shapeId="0" xr:uid="{15E5755A-3C73-594B-9C39-807890328DE8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Editable custom rate for FH Landed (Prime). Edit directly in this cell.</t>
        </r>
      </text>
    </comment>
    <comment ref="C12" authorId="0" shapeId="0" xr:uid="{90B91817-F851-7E47-8713-F8A928347B31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Links to Assumptions!C15 (SORA + Spread). Auto-calculated.</t>
        </r>
      </text>
    </comment>
    <comment ref="C13" authorId="0" shapeId="0" xr:uid="{70D050DA-EA8B-DE48-A557-817F65D69818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Links to Assumptions!C16. Edit the value in Assumptions!C16 to change.</t>
        </r>
      </text>
    </comment>
    <comment ref="C14" authorId="0" shapeId="0" xr:uid="{851BF994-B2A9-9748-B66B-F543D8A12106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Links to Assumptions!C17. Edit the value in Assumptions!C17 to change.</t>
        </r>
      </text>
    </comment>
    <comment ref="C24" authorId="0" shapeId="0" xr:uid="{EF32CA28-0F1C-8A49-B0BA-7140A5F2E981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HDB concessionary rate: fixed 2.6% p.a.
Source: HDB.gov.sg</t>
        </r>
      </text>
    </comment>
    <comment ref="D24" authorId="0" shapeId="0" xr:uid="{1D1CC2B5-AE33-E54F-8438-2D403AD6E937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Bank rate: SORA + spread from Assumptions!C15</t>
        </r>
      </text>
    </comment>
    <comment ref="F24" authorId="0" shapeId="0" xr:uid="{308E3BB9-A06D-CE42-AD78-E9E17C756BCB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HDB concessionary rate: fixed 2.6% p.a.</t>
        </r>
      </text>
    </comment>
    <comment ref="G24" authorId="0" shapeId="0" xr:uid="{906EB939-58A4-3B41-BC01-89AAAC7A84FE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HDB concessionary rate: fixed 2.6% p.a.</t>
        </r>
      </text>
    </comment>
    <comment ref="C25" authorId="0" shapeId="0" xr:uid="{A9BC4C48-2AAC-EA4B-8B8B-911EE8416B9C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HDB concessionary rate is fixed regardless of market stress</t>
        </r>
      </text>
    </comment>
    <comment ref="C26" authorId="0" shapeId="0" xr:uid="{AEDAD800-E7A8-BE45-94DF-118376CDE9C6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HDB concessionary rate is fixed regardless of market stress</t>
        </r>
      </text>
    </comment>
    <comment ref="C27" authorId="0" shapeId="0" xr:uid="{EB085C35-DDE3-1345-8B9B-3E2873DD7967}">
      <text>
        <r>
          <rPr>
            <b/>
            <sz val="10"/>
            <color rgb="FF000000"/>
            <rFont val="Tahoma"/>
            <family val="2"/>
          </rPr>
          <t>Tian chuin Chen:</t>
        </r>
        <r>
          <rPr>
            <sz val="10"/>
            <color rgb="FF000000"/>
            <rFont val="Tahoma"/>
            <family val="2"/>
          </rPr>
          <t xml:space="preserve">
This is the effective rate used in the model for this property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<sst xmlns="http://schemas.openxmlformats.org/spreadsheetml/2006/main" count="1817" uniqueCount="1278">
  <si>
    <t>SINGAPORE PROPERTY LEVERAGE OPTIMIZER — ASSUMPTIONS</t>
  </si>
  <si>
    <t>INVESTOR PROFILE</t>
  </si>
  <si>
    <t>Current Age</t>
  </si>
  <si>
    <t>years</t>
  </si>
  <si>
    <t>Analysis Horizon</t>
  </si>
  <si>
    <t>Exit Age</t>
  </si>
  <si>
    <t>Total Net Worth</t>
  </si>
  <si>
    <t>CPF OA Balance</t>
  </si>
  <si>
    <t>CPF OA Interest Rate</t>
  </si>
  <si>
    <t>Residency Status</t>
  </si>
  <si>
    <t>SC 1st Property</t>
  </si>
  <si>
    <t>← Dropdown</t>
  </si>
  <si>
    <t>MARKET RATES (LIVE DATA — Feb 2026)</t>
  </si>
  <si>
    <t>6M Compounded SORA</t>
  </si>
  <si>
    <t>Bank Spread</t>
  </si>
  <si>
    <t>All-in Mortgage Rate (Base)</t>
  </si>
  <si>
    <t>Stress Mortgage Rate</t>
  </si>
  <si>
    <t>Severe Mortgage Rate</t>
  </si>
  <si>
    <t>Active Rate Scenario</t>
  </si>
  <si>
    <t>Base</t>
  </si>
  <si>
    <t>← Dropdown: Base / Stress / Severe</t>
  </si>
  <si>
    <t>Effective Mortgage Rate</t>
  </si>
  <si>
    <t>← Used in all calcs</t>
  </si>
  <si>
    <t>LEVERAGE &amp; FINANCING</t>
  </si>
  <si>
    <t>LTV Ratio</t>
  </si>
  <si>
    <t>Downpayment %</t>
  </si>
  <si>
    <t>CPF Usage for Downpayment %</t>
  </si>
  <si>
    <t>of property price</t>
  </si>
  <si>
    <t>Cash Downpayment %</t>
  </si>
  <si>
    <t>Mortgage Tenure (years)</t>
  </si>
  <si>
    <t>← Flexible: 15-35</t>
  </si>
  <si>
    <t>Leverage Multiple</t>
  </si>
  <si>
    <t>PROPERTY ASSUMPTIONS</t>
  </si>
  <si>
    <t>HDB 1984</t>
  </si>
  <si>
    <t>Condo 99LH</t>
  </si>
  <si>
    <t>FH Condo</t>
  </si>
  <si>
    <t>Purchase Price</t>
  </si>
  <si>
    <t>PSF ($)</t>
  </si>
  <si>
    <t>Remaining Lease (years)</t>
  </si>
  <si>
    <t>Freehold</t>
  </si>
  <si>
    <t>Monthly Imputed Rent</t>
  </si>
  <si>
    <t>Annual Rent Growth</t>
  </si>
  <si>
    <t>TRANSACTION COSTS</t>
  </si>
  <si>
    <t>BSD (Buyer Stamp Duty)</t>
  </si>
  <si>
    <t>ABSD Rate</t>
  </si>
  <si>
    <t>ABSD Amount</t>
  </si>
  <si>
    <t>Legal + Misc (est. 1%)</t>
  </si>
  <si>
    <t>Agent Fee on Exit (1%)</t>
  </si>
  <si>
    <t>Total Upfront Costs (excl. downpayment)</t>
  </si>
  <si>
    <t>BENCHMARK PORTFOLIO</t>
  </si>
  <si>
    <t>60/40 Portfolio CAGR</t>
  </si>
  <si>
    <t>Portfolio Std Dev (for vol model)</t>
  </si>
  <si>
    <t>← ~9% for 60/40</t>
  </si>
  <si>
    <t>Remaining Lease (Years)</t>
  </si>
  <si>
    <t>% of Freehold Value</t>
  </si>
  <si>
    <t>Source: SLA Bala's Table</t>
  </si>
  <si>
    <t>HDB 1984 — LEVERAGED PROPERTY ANALYSIS</t>
  </si>
  <si>
    <t>CAPITAL STRUCTURE</t>
  </si>
  <si>
    <t>Loan Amount (75% LTV)</t>
  </si>
  <si>
    <t>Cash Downpayment</t>
  </si>
  <si>
    <t>CPF OA Used</t>
  </si>
  <si>
    <t>Total Upfront Costs</t>
  </si>
  <si>
    <t>Total Cash Outlay (Day 1)</t>
  </si>
  <si>
    <t>Total Equity at Risk (Cash + CPF)</t>
  </si>
  <si>
    <t>Monthly Mortgage Payment</t>
  </si>
  <si>
    <t>Annual Mortgage Payment</t>
  </si>
  <si>
    <t>Year</t>
  </si>
  <si>
    <t>Age</t>
  </si>
  <si>
    <t>Remaining
Lease</t>
  </si>
  <si>
    <t>Bala Factor
(%FH)</t>
  </si>
  <si>
    <t>FH Equiv.
Land Value</t>
  </si>
  <si>
    <t>Leasehold
Market Value</t>
  </si>
  <si>
    <t>Loan
Balance</t>
  </si>
  <si>
    <t>Property
Equity</t>
  </si>
  <si>
    <t>Annual
Interest</t>
  </si>
  <si>
    <t>Annual
Principal</t>
  </si>
  <si>
    <t>Cumulative
Net Benefit</t>
  </si>
  <si>
    <t>ROE on
Equity (%)</t>
  </si>
  <si>
    <t>CPF Accrued
Interest</t>
  </si>
  <si>
    <t>Net Equity
After CPF</t>
  </si>
  <si>
    <t>-</t>
  </si>
  <si>
    <t>SUMMARY METRICS</t>
  </si>
  <si>
    <t>Terminal Property Equity (Year 20)</t>
  </si>
  <si>
    <t>Terminal Loan Balance</t>
  </si>
  <si>
    <t>Net Equity After CPF Accrued Interest</t>
  </si>
  <si>
    <t>Total CPF Accrued Interest Owed</t>
  </si>
  <si>
    <t>ROE on Day-1 Equity (20yr)</t>
  </si>
  <si>
    <t>Annualized ROE (CAGR)</t>
  </si>
  <si>
    <t>Cumulative Net Holding Benefit</t>
  </si>
  <si>
    <t>Breakeven Year (Equity &gt; Day-1 Outlay)</t>
  </si>
  <si>
    <t>CONDO 99-YEAR LEASEHOLD (2020 BUILD) — 20-YEAR ANALYSIS</t>
  </si>
  <si>
    <t>FREEHOLD CONDO — 20-YEAR ANALYSIS</t>
  </si>
  <si>
    <t>Market
Value</t>
  </si>
  <si>
    <t>OPPORTUNITY COST ANALYSIS — LIQUID CAPITAL DEPLOYMENT</t>
  </si>
  <si>
    <t>CAPITAL DEPLOYMENT SUMMARY</t>
  </si>
  <si>
    <t>Cash Deployed in Property (Day 1)</t>
  </si>
  <si>
    <t>CPF OA Deployed</t>
  </si>
  <si>
    <t>Remaining Liquid Capital</t>
  </si>
  <si>
    <t>Benchmark Return (CAGR)</t>
  </si>
  <si>
    <t>Annual Mortgage Cash Outflow</t>
  </si>
  <si>
    <t>20-YEAR LIQUID PORTFOLIO GROWTH</t>
  </si>
  <si>
    <t>HDB
Liquid Portfolio</t>
  </si>
  <si>
    <t>Condo
Liquid Portfolio</t>
  </si>
  <si>
    <t>FH
Liquid Portfolio</t>
  </si>
  <si>
    <t>No Property
Full Portfolio</t>
  </si>
  <si>
    <t>TERMINAL NET WORTH COMPARISON (YEAR 20)</t>
  </si>
  <si>
    <t>No Property</t>
  </si>
  <si>
    <t>Liquid Portfolio (Year 20)</t>
  </si>
  <si>
    <t>Property Equity (Net of CPF)</t>
  </si>
  <si>
    <t>TOTAL NET WORTH</t>
  </si>
  <si>
    <t>NW vs. No Property</t>
  </si>
  <si>
    <t>NW CAGR (20yr)</t>
  </si>
  <si>
    <t>LEVERAGED PROPERTY ANALYSIS — EXECUTIVE DASHBOARD</t>
  </si>
  <si>
    <t>ACTIVE SCENARIO</t>
  </si>
  <si>
    <t>Rate Scenario</t>
  </si>
  <si>
    <t>Mortgage Tenure</t>
  </si>
  <si>
    <t>Investor Net Worth</t>
  </si>
  <si>
    <t>Benchmark Portfolio CAGR</t>
  </si>
  <si>
    <t>PROPERTY COMPARISON (20-YEAR TERMINAL VALUES)</t>
  </si>
  <si>
    <t>PURCHASE &amp; CAPITAL</t>
  </si>
  <si>
    <t>TERMINAL VALUES (YEAR 20)</t>
  </si>
  <si>
    <t>Property Market Value</t>
  </si>
  <si>
    <t>Liquid Portfolio</t>
  </si>
  <si>
    <t>PERFORMANCE METRICS</t>
  </si>
  <si>
    <t>Annualized ROE on Equity</t>
  </si>
  <si>
    <t>Breakeven Year</t>
  </si>
  <si>
    <t>LEASE DECAY IMPACT ANALYSIS</t>
  </si>
  <si>
    <t>Starting Lease</t>
  </si>
  <si>
    <t>Terminal Lease (Year 20)</t>
  </si>
  <si>
    <t>Bala Factor: Start → End</t>
  </si>
  <si>
    <t>→</t>
  </si>
  <si>
    <t>Total Bala Decay (%)</t>
  </si>
  <si>
    <t>Value Destroyed by Decay ($)</t>
  </si>
  <si>
    <t>SORA + Spread</t>
  </si>
  <si>
    <t>Stress</t>
  </si>
  <si>
    <t>Severe</t>
  </si>
  <si>
    <t>Annual Maintenance/Condo Fee (Yr1)</t>
  </si>
  <si>
    <t>Property Tax Method</t>
  </si>
  <si>
    <t>IRAS Progressive on AV</t>
  </si>
  <si>
    <t>Land Appreciation Scenario</t>
  </si>
  <si>
    <t>HDB 2005</t>
  </si>
  <si>
    <t>HDB 2015</t>
  </si>
  <si>
    <t>HDB 2005 — LEVERAGED PROPERTY ANALYSIS</t>
  </si>
  <si>
    <t>HDB 2015 — LEVERAGED PROPERTY ANALYSIS</t>
  </si>
  <si>
    <t>HDB 2005
Liquid Portfolio</t>
  </si>
  <si>
    <t>HDB 2015
Liquid Portfolio</t>
  </si>
  <si>
    <t>FH Landed (Prime)</t>
  </si>
  <si>
    <t>FH LANDED (PRIME) — 20-YEAR ANALYSIS</t>
  </si>
  <si>
    <t>FH Landed
Liquid Portfolio</t>
  </si>
  <si>
    <t>FH Landed</t>
  </si>
  <si>
    <t>Optimistic</t>
  </si>
  <si>
    <t>Custom</t>
  </si>
  <si>
    <t>SCENARIO TABLES — Edit values below to customize each dropdown option</t>
  </si>
  <si>
    <t>1. LAND APPRECIATION RATES (% p.a.)</t>
  </si>
  <si>
    <t>Scenario</t>
  </si>
  <si>
    <t>Active?</t>
  </si>
  <si>
    <t>Pessimistic</t>
  </si>
  <si>
    <t>2. MORTGAGE RATE SCENARIOS</t>
  </si>
  <si>
    <t>Mortgage Rate</t>
  </si>
  <si>
    <t>Description</t>
  </si>
  <si>
    <t>SORA + Bank Spread (auto-calculated)</t>
  </si>
  <si>
    <t>Edit in Assumptions!C16</t>
  </si>
  <si>
    <t>Edit in Assumptions!C17</t>
  </si>
  <si>
    <t>3. ABSD RATES BY RESIDENCY STATUS</t>
  </si>
  <si>
    <t>Singapore Citizen, 1st property</t>
  </si>
  <si>
    <t>SC 2nd Property</t>
  </si>
  <si>
    <t>Singapore Citizen, 2nd property</t>
  </si>
  <si>
    <t>PR</t>
  </si>
  <si>
    <t>Permanent Resident</t>
  </si>
  <si>
    <t>HOW TO USE</t>
  </si>
  <si>
    <t>① Edit blue values in the tables above to change what each scenario means.</t>
  </si>
  <si>
    <t>② Switch scenarios using the dropdowns in the Assumptions sheet (B34, C18, C10).</t>
  </si>
  <si>
    <t>③ The ✔ column shows which scenario is currently active — the model auto-reads from this table.</t>
  </si>
  <si>
    <t>④ Land appreciation: each property can have its own rate per scenario (edit C5:H7 independently).</t>
  </si>
  <si>
    <t>⑤ "Custom" row in Table 1 links to Assumptions!I34 — type your rate there or edit I34 directly.</t>
  </si>
  <si>
    <t>Lending Restriction</t>
  </si>
  <si>
    <t>4. MORTGAGE RATES BY PROPERTY</t>
  </si>
  <si>
    <t>→ Active Rate</t>
  </si>
  <si>
    <t>Usage Mode</t>
  </si>
  <si>
    <t>Owner-Occupied</t>
  </si>
  <si>
    <t>Vacancy Rate (% annual)</t>
  </si>
  <si>
    <t>← Investment only</t>
  </si>
  <si>
    <t>Property Mgmt Fee (% of rent)</t>
  </si>
  <si>
    <t>Rental Income Tax Rate</t>
  </si>
  <si>
    <t>Rent / Imputed
Rent (Annual)</t>
  </si>
  <si>
    <t>Maintenance
+ Prop Tax (+Mgmt)</t>
  </si>
  <si>
    <t>Net Holding
Benefit (After Tax)</t>
  </si>
  <si>
    <t>General Inflation Rate</t>
  </si>
  <si>
    <t>← Real return calc</t>
  </si>
  <si>
    <t>Real Cumul.
Net Benefit</t>
  </si>
  <si>
    <t>Real ROE
(CAGR %)</t>
  </si>
  <si>
    <t>Real CAGR (Inflation-Adj)</t>
  </si>
  <si>
    <t>Real Cumul. Net Benefit (Year 20)</t>
  </si>
  <si>
    <t>Inflation Rate Assumed</t>
  </si>
  <si>
    <t>End-of-Horizon Restriction</t>
  </si>
  <si>
    <t>ADVANCED PERFORMANCE METRICS</t>
  </si>
  <si>
    <t>Leverage Amplification (ROE ÷ Land Appr.)</t>
  </si>
  <si>
    <t>Real NW CAGR (Inflation-Adj)</t>
  </si>
  <si>
    <t>Equity Multiple (Terminal / Day-1)</t>
  </si>
  <si>
    <t>🏆 WINNER BY METRIC</t>
  </si>
  <si>
    <t>Highest Total NW</t>
  </si>
  <si>
    <t>Highest ROE</t>
  </si>
  <si>
    <t>Best Leverage Amplification</t>
  </si>
  <si>
    <t>SENSITIVITY ANALYSIS — TWO-WAY DATA TABLES</t>
  </si>
  <si>
    <t>PROPERTY SELECTOR</t>
  </si>
  <si>
    <t>CURRENT BASE CASE VALUES</t>
  </si>
  <si>
    <t>Select Property:</t>
  </si>
  <si>
    <t>Land Appreciation:</t>
  </si>
  <si>
    <t>Property #:</t>
  </si>
  <si>
    <t>Mortgage Rate:</t>
  </si>
  <si>
    <t>Purchase Price:</t>
  </si>
  <si>
    <t>Portfolio CAGR:</t>
  </si>
  <si>
    <t>TABLE 1: TERMINAL PROPERTY EQUITY ($) — Land Appreciation vs. Mortgage Rate</t>
  </si>
  <si>
    <t>Land Appr. ↓  Mort. Rate →</t>
  </si>
  <si>
    <t>HELPER CALCS (selected property)</t>
  </si>
  <si>
    <t>Loan Amount</t>
  </si>
  <si>
    <t>Bala Start</t>
  </si>
  <si>
    <t>Bala End Factor</t>
  </si>
  <si>
    <t>Bala Start Factor</t>
  </si>
  <si>
    <t>Tenure</t>
  </si>
  <si>
    <t>CPF Accrued Int (Y20)</t>
  </si>
  <si>
    <t>Total Equity at Risk</t>
  </si>
  <si>
    <t>Land Appr.</t>
  </si>
  <si>
    <t>Table 1: Terminal Property Equity (Net of Loan &amp; CPF)</t>
  </si>
  <si>
    <t>Cumul. Net Rental CF (Y20)</t>
  </si>
  <si>
    <t>Table 2: Total Net Worth at Year 20 (Property Equity + Net Rental Cash Flow)</t>
  </si>
  <si>
    <t>Land Appr. ↓  Mortgage →</t>
  </si>
  <si>
    <t>Table 3: Property Advantage vs. Liquid Portfolio ($)</t>
  </si>
  <si>
    <t>Land Appr. ↓  Alt. CAGR →</t>
  </si>
  <si>
    <t>CASH FLOW WATERFALL — YEAR-BY-YEAR PROPERTY ANALYSIS</t>
  </si>
  <si>
    <t>Mortgage
Payment</t>
  </si>
  <si>
    <t>Interest
Portion</t>
  </si>
  <si>
    <t>Principal
Repaid</t>
  </si>
  <si>
    <t>Gross Rental
Income</t>
  </si>
  <si>
    <t>Taxes &amp;
Expenses</t>
  </si>
  <si>
    <t>Net Rental
Cash Flow</t>
  </si>
  <si>
    <t>Cumulative
Net CF</t>
  </si>
  <si>
    <t>Net Equity
(after CPF)</t>
  </si>
  <si>
    <t>TOTAL</t>
  </si>
  <si>
    <t>Interest</t>
  </si>
  <si>
    <t>Principal</t>
  </si>
  <si>
    <t>Net Rental CF</t>
  </si>
  <si>
    <t>Taxes &amp; Exp</t>
  </si>
  <si>
    <t>Market Value</t>
  </si>
  <si>
    <t>Loan Balance</t>
  </si>
  <si>
    <t>Net Equity</t>
  </si>
  <si>
    <t>🏆 PROPERTY RANKING TABLE</t>
  </si>
  <si>
    <t>Rank</t>
  </si>
  <si>
    <t>Property</t>
  </si>
  <si>
    <t>ROE on Equity</t>
  </si>
  <si>
    <t>Equity at Risk</t>
  </si>
  <si>
    <t>Lease Decay ($)</t>
  </si>
  <si>
    <t>Breakeven Yr</t>
  </si>
  <si>
    <t>Risk Flags</t>
  </si>
  <si>
    <t>NW</t>
  </si>
  <si>
    <t>ROE</t>
  </si>
  <si>
    <t>Decay $</t>
  </si>
  <si>
    <t>Breakeven</t>
  </si>
  <si>
    <t>NW Rank</t>
  </si>
  <si>
    <t>ROE Rank</t>
  </si>
  <si>
    <t>QUICK STATS</t>
  </si>
  <si>
    <t>Best:</t>
  </si>
  <si>
    <t>Worst:</t>
  </si>
  <si>
    <t>Spread:</t>
  </si>
  <si>
    <t>FLAG LEGEND</t>
  </si>
  <si>
    <t>🔴 Underperforms No Property</t>
  </si>
  <si>
    <t>🟡 Lease decay &gt; $400K</t>
  </si>
  <si>
    <t>⚠️ Capital lock-up &gt; $1M</t>
  </si>
  <si>
    <t>🟢 Beats No Property</t>
  </si>
  <si>
    <t>📊 VISUAL ANALYSIS</t>
  </si>
  <si>
    <t>Total Net Worth ($)</t>
  </si>
  <si>
    <t>No Property Baseline ($)</t>
  </si>
  <si>
    <t>Property Equity ($)</t>
  </si>
  <si>
    <t>Liquid Portfolio ($)</t>
  </si>
  <si>
    <t>🚩 RISK ASSESSMENT &amp; DECISION MATRIX</t>
  </si>
  <si>
    <t>Beats
Benchmark?</t>
  </si>
  <si>
    <t>Lease
Risk</t>
  </si>
  <si>
    <t>Capital
Intensity</t>
  </si>
  <si>
    <t>ROE
Rating</t>
  </si>
  <si>
    <t>Decay
Impact</t>
  </si>
  <si>
    <t>Overall
Risk Score</t>
  </si>
  <si>
    <t>Verdict</t>
  </si>
  <si>
    <t>SCORE KEY:</t>
  </si>
  <si>
    <t>0-1 = ⭐ Excellent</t>
  </si>
  <si>
    <t>2-3 = ✅ Favorable</t>
  </si>
  <si>
    <t>4-5 = ⚠️ Moderate</t>
  </si>
  <si>
    <t>6+ = 🛑 Caution</t>
  </si>
  <si>
    <t>Annualized ROE</t>
  </si>
  <si>
    <t>SINGAPORE FIRE + PROPERTY + INVESTMENT RETIREMENT PLANNER</t>
  </si>
  <si>
    <t>MASTER BUILD PLAN v1.0</t>
  </si>
  <si>
    <t>Date: Feb 2026</t>
  </si>
  <si>
    <t>━━━━━━━━━━━━━━━━━━━━━━━━━━━━━━━━━━━━━━━━━━━━━━━━━━━━━━━━━━━━━━━━━━━━━━━━━━━━━━━━</t>
  </si>
  <si>
    <t>TABLE OF CONTENTS</t>
  </si>
  <si>
    <t>Section 1: Context Resumption Prompt</t>
  </si>
  <si>
    <t>Section 2: Project Overview &amp; Vision</t>
  </si>
  <si>
    <t>Section 3: User Instructions &amp; Corrections (Canonical)</t>
  </si>
  <si>
    <t>Section 4: Existing Model Summary (13 Sheets — DO NOT MODIFY)</t>
  </si>
  <si>
    <t>Section 5: New Sheet Architecture (11 New Sheets)</t>
  </si>
  <si>
    <t>Section 6: Dependency Map &amp; Build Sequence</t>
  </si>
  <si>
    <t>Section 7: Phase Specifications (Detailed)</t>
  </si>
  <si>
    <t>Section 8: Cross-Sheet Named Ranges &amp; Data Flow</t>
  </si>
  <si>
    <t>Section 9: Formula Documentation for Webapp Migration</t>
  </si>
  <si>
    <t>Section 10: User Journey Maps</t>
  </si>
  <si>
    <t>Section 11: Performance &amp; Technical Requirements</t>
  </si>
  <si>
    <t>Section 12: Build Progress Tracker</t>
  </si>
  <si>
    <t>Section 13: Appendix — Reference Data Sources</t>
  </si>
  <si>
    <t>1. Project Overview</t>
  </si>
  <si>
    <t>2. Existing Model Summary</t>
  </si>
  <si>
    <t>3. Architecture — All Sheets</t>
  </si>
  <si>
    <t>4. Phase 1: Foundation</t>
  </si>
  <si>
    <t>5. Phase 2: Asset Allocation + Portfolio Engine</t>
  </si>
  <si>
    <t>6. Phase 3: Monte Carlo Simulation</t>
  </si>
  <si>
    <t>7. Phase 4: Withdrawal Strategies + Sequence Risk</t>
  </si>
  <si>
    <t>8. Phase 5: Historical Backtesting</t>
  </si>
  <si>
    <t>9. Phase 6: FIRE Dashboard + Onboarding + Integration</t>
  </si>
  <si>
    <t>10. User Journeys</t>
  </si>
  <si>
    <t>11. Technical Specifications</t>
  </si>
  <si>
    <t>12. Build Progress Tracker</t>
  </si>
  <si>
    <t>13. Context Resumption Prompt</t>
  </si>
  <si>
    <t>1. PROJECT OVERVIEW</t>
  </si>
  <si>
    <t>Goal</t>
  </si>
  <si>
    <t>Transform existing Singapore Property Leverage Optimizer (13 sheets) into a comprehensive FIRE + Property + Investment Retirement Planner that serves:</t>
  </si>
  <si>
    <t>- Post-retirement users (already retired/FIRE'd, decumulation phase)</t>
  </si>
  <si>
    <t>Key Features to Add</t>
  </si>
  <si>
    <t>1. FIRE calculation engine (FIRE number, years-to-FIRE, Coast FIRE)</t>
  </si>
  <si>
    <t>2. Income growth modeling (3 salary models + 5 income streams + life events)</t>
  </si>
  <si>
    <t>3. Monte Carlo simulation (10,000 sims via Python &gt; percentile output to Excel)</t>
  </si>
  <si>
    <t>4. Historical backtesting (Bengen-style rolling window, US + Singapore data)</t>
  </si>
  <si>
    <t>5. 6+ withdrawal strategies compared side-by-side</t>
  </si>
  <si>
    <t>6. Sequence-of-returns risk stress testing</t>
  </si>
  <si>
    <t>7. Dynamic withdrawal/exit strategy modeling</t>
  </si>
  <si>
    <t>8. Asset allocation builder (8 classes + CPF integration)</t>
  </si>
  <si>
    <t>9. Success rate metrics</t>
  </si>
  <si>
    <t>10. Safe Withdrawal Rate (SWR) optimization</t>
  </si>
  <si>
    <t>11. Guided onboarding wizard + reference guide</t>
  </si>
  <si>
    <t>Design Decisions (Confirmed with User)</t>
  </si>
  <si>
    <t>- Target audience: Both HNW and broad Singapore audience, with guided pathways</t>
  </si>
  <si>
    <t>- Life stage: Toggle between Pre-FIRE and Post-FIRE modes</t>
  </si>
  <si>
    <t>- Monte Carlo: Python generates 10,000 sims &gt; write percentile bands to Excel (also formula-based 100-200 scenario option in-sheet)</t>
  </si>
  <si>
    <t>- Historical data: Full embedded data - S&amp;P 500 + US Bonds (1926-2024) + STI (1987-2024) + SG Property Index (1975-2024)</t>
  </si>
  <si>
    <t>- Withdrawal strategies: Comprehensive 6+ strategies</t>
  </si>
  <si>
    <t>- Asset allocation: Extended 8 classes with CPF integration (US/SG/Intl Equities, Bonds, REITs, Gold, Cash, CPF OA/SA)</t>
  </si>
  <si>
    <t>- Income growth: Full engine - 3 salary models, 5 income streams, optional life events</t>
  </si>
  <si>
    <t>2. EXISTING MODEL SUMMARY</t>
  </si>
  <si>
    <t>Current Sheets (13 total)</t>
  </si>
  <si>
    <t>Sheet: Assumptions (ID: 2)</t>
  </si>
  <si>
    <t>- Investor profile: age 32, 30-year horizon, $13M net worth, CPF OA $150K</t>
  </si>
  <si>
    <t>- Market rates: SORA-based mortgage (1.671% base, 3.5% stress, 5% severe)</t>
  </si>
  <si>
    <t>- Leverage: 75% LTV, 30-year tenure</t>
  </si>
  <si>
    <t>- 6 property types with individual assumptions</t>
  </si>
  <si>
    <t xml:space="preserve">  - HDB 1984 ($1.4M, 57yr lease, 2% appreciation)</t>
  </si>
  <si>
    <t xml:space="preserve">  - Condo 99LH ($2.5M, 93yr lease, 3% appreciation)</t>
  </si>
  <si>
    <t xml:space="preserve">  - FH Condo ($3.9M, freehold, 4% appreciation)</t>
  </si>
  <si>
    <t xml:space="preserve">  - HDB 2005 ($780K, 78yr lease, 3% appreciation)</t>
  </si>
  <si>
    <t xml:space="preserve">  - HDB 2015 ($1.4M, 88yr lease, 3% appreciation)</t>
  </si>
  <si>
    <t xml:space="preserve">  - FH Landed Prime ($7M, freehold, 5% appreciation)</t>
  </si>
  <si>
    <t>- Benchmark: 60/40 portfolio at 5.5% CAGR, 9% std dev</t>
  </si>
  <si>
    <t>Sheet: Dashboard (ID: 1)</t>
  </si>
  <si>
    <t>- Property comparison table (20-year terminal values)</t>
  </si>
  <si>
    <t>- Lease decay analysis using Bala's Table</t>
  </si>
  <si>
    <t>Sheet: Sensitivity Analysis (ID: 12)</t>
  </si>
  <si>
    <t>- 3 two-way data tables: Terminal Property Equity, Total Net Worth, Property Advantage vs Liquid Portfolio</t>
  </si>
  <si>
    <t>Sheet: Scenario Tables (ID: 11)</t>
  </si>
  <si>
    <t>Sheet: Opportunity Cost (ID: 7)</t>
  </si>
  <si>
    <t>- 20-year liquid portfolio growth (year-by-year for each property + no-property)</t>
  </si>
  <si>
    <t>Sheet: Bala Table (ID: 3)</t>
  </si>
  <si>
    <t>- Remaining lease &gt; % of freehold value lookup (SLA Bala's Table)</t>
  </si>
  <si>
    <t>Sheets: HDB 1984 (ID:4), HDB 2005 (ID:8), HDB 2015 (ID:9), Condo 99LH (ID:5), FH Condo (ID:6), FH Landed Prime (ID:10)</t>
  </si>
  <si>
    <t>- Each is a 20-year leveraged property analysis with:</t>
  </si>
  <si>
    <t xml:space="preserve">  - Capital structure (purchase price, loan, downpayment, CPF, upfront costs)</t>
  </si>
  <si>
    <t xml:space="preserve">  - Year-by-year: lease remaining, Bala factor, market value, loan balance, equity</t>
  </si>
  <si>
    <t xml:space="preserve">  - Annual interest/principal split, rent/imputed rent, maintenance, property tax</t>
  </si>
  <si>
    <t xml:space="preserve">  - Net holding benefit, cumulative benefit, ROE, CPF accrued interest</t>
  </si>
  <si>
    <t xml:space="preserve">  - Real (inflation-adjusted) returns</t>
  </si>
  <si>
    <t xml:space="preserve">  - Summary metrics at bottom</t>
  </si>
  <si>
    <t>Sheet: Cash Flow Waterfall (ID: 13)</t>
  </si>
  <si>
    <t>- Year-by-year: mortgage payment, interest/principal split, gross rental, taxes/expenses, net rental CF, cumulative CF</t>
  </si>
  <si>
    <t>- Market value, loan balance, net equity columns</t>
  </si>
  <si>
    <t>- 20-year totals</t>
  </si>
  <si>
    <t>3. ARCHITECTURE - ALL SHEETS</t>
  </si>
  <si>
    <t>New Sheets to Create (11 new)</t>
  </si>
  <si>
    <t>#1  Start Here        | Guided wizard - life-stage toggle, quick-start pathways | Phase 1</t>
  </si>
  <si>
    <t>#2  FIRE Profile       | Core FIRE inputs: age, income, expenses, savings, FIRE number | Phase 1</t>
  </si>
  <si>
    <t>#3  Income Engine      | 3 salary models + 5 income streams + life events + MOM data | Phase 1</t>
  </si>
  <si>
    <t>#4  Historical Data    | Hidden sheet: S&amp;P500, bonds, STI, SG property, CPI (1926-2024) | Phase 1</t>
  </si>
  <si>
    <t>#5  Asset Allocation   | 8-class builder + templates + correlation matrix + glide path | Phase 2</t>
  </si>
  <si>
    <t>#6  Monte Carlo        | 10K sim results: percentile bands, success rates, fan charts | Phase 3</t>
  </si>
  <si>
    <t>#7  Withdrawal Strategies | 6 strategies compared side-by-side, year-by-year | Phase 4</t>
  </si>
  <si>
    <t>#8  Sequence Risk      | Historical crisis stress tests + sequence impact analysis | Phase 4</t>
  </si>
  <si>
    <t>#9  Historical Backtest | Bengen-style rolling window analysis, heat maps | Phase 5</t>
  </si>
  <si>
    <t>#10 FIRE Dashboard     | Master results: FIRE progress, success rate, survival chart | Phase 6</t>
  </si>
  <si>
    <t>#11 Reference Guide    | Explanations, glossary, how-to for every concept | Phase 6</t>
  </si>
  <si>
    <t>Existing Sheets to Modify (2)</t>
  </si>
  <si>
    <t>- Assumptions (ID:2): Add FIRE inputs section, asset class parameters, life-stage toggle</t>
  </si>
  <si>
    <t>- Dashboard (ID:1): Integrate FIRE metrics alongside property comparison</t>
  </si>
  <si>
    <t>Existing Sheets to Keep Unchanged (11)</t>
  </si>
  <si>
    <t>Sensitivity Analysis (ID:12), Scenario Tables (ID:11), Opportunity Cost (ID:7), Bala Table (ID:3), HDB 1984 (ID:4), HDB 2005 (ID:8), HDB 2015 (ID:9), Condo 99LH (ID:5), FH Condo (ID:6), FH Landed Prime (ID:10), Cash Flow Waterfall (ID:13)</t>
  </si>
  <si>
    <t>4. PHASE 1: FOUNDATION</t>
  </si>
  <si>
    <t>4A. Start Here (Guided Wizard)</t>
  </si>
  <si>
    <t>Layout:</t>
  </si>
  <si>
    <t>Row 1-3:   Title + Welcome message</t>
  </si>
  <si>
    <t>Row 5-7:   STEP 1 - What best describes you?</t>
  </si>
  <si>
    <t xml:space="preserve">           Dropdown: [Pre-FIRE (still working)] / [Post-FIRE (retired)] / [Property Investor]</t>
  </si>
  <si>
    <t>Row 9-11:  STEP 2 - Quick profile (auto-shows relevant fields based on Step 1)</t>
  </si>
  <si>
    <t xml:space="preserve">           Pre-FIRE: Current age, annual income, annual expenses, current savings</t>
  </si>
  <si>
    <t xml:space="preserve">           Post-FIRE: Current age, portfolio size, annual spending, expected retirement length</t>
  </si>
  <si>
    <t xml:space="preserve">           Property: Current age, net worth, property type of interest</t>
  </si>
  <si>
    <t>Row 13-15: STEP 3 - What do you want to know?</t>
  </si>
  <si>
    <t xml:space="preserve">           Checkboxes/dropdown: FIRE number / Time to FIRE / Safe withdrawal rate / Monte Carlo survival / Property comparison / All of the above</t>
  </si>
  <si>
    <t>Row 17-20: NAVIGATION PANEL - colored buttons/links to relevant sheets</t>
  </si>
  <si>
    <t>Row 22-30: QUICK RESULTS PREVIEW - Shows 3-4 key metrics pulled from downstream sheets</t>
  </si>
  <si>
    <t>Key Formulas: Conditional display based on life-stage dropdown, HYPERLINK() formulas, Summary metrics from FIRE Profile + Monte Carlo</t>
  </si>
  <si>
    <t>4B. FIRE Profile</t>
  </si>
  <si>
    <t>SECTION 1: PERSONAL PROFILE (Rows 1-12)</t>
  </si>
  <si>
    <t xml:space="preserve">  Current Age                    [32]        &lt;- links to Assumptions!C4</t>
  </si>
  <si>
    <t xml:space="preserve">  Target Retirement Age          [45]        &lt;- user input (blue)</t>
  </si>
  <si>
    <t xml:space="preserve">  Life Expectancy                [90]        &lt;- user input (blue), default 90</t>
  </si>
  <si>
    <t xml:space="preserve">  Retirement Duration (calc)     [45 years]  &lt;- =Life Expectancy - Retirement Age</t>
  </si>
  <si>
    <t xml:space="preserve">  Life Stage                     [Pre-FIRE]  &lt;- dropdown, links to Start Here</t>
  </si>
  <si>
    <t xml:space="preserve">  Country                        [Singapore] &lt;- dropdown (SG/US/Other)</t>
  </si>
  <si>
    <t xml:space="preserve">  Tax Residency                  [Singapore Tax Resident] &lt;- dropdown</t>
  </si>
  <si>
    <t>SECTION 2: CURRENT FINANCIAL POSITION (Rows 14-28)</t>
  </si>
  <si>
    <t xml:space="preserve">  Annual Gross Income            [___]       &lt;- links to Income Engine total</t>
  </si>
  <si>
    <t xml:space="preserve">  Annual Expenses                [___]       &lt;- user input (blue)</t>
  </si>
  <si>
    <t xml:space="preserve">  Annual Savings                 [___]       &lt;- =Income - Expenses (formula)</t>
  </si>
  <si>
    <t xml:space="preserve">  Savings Rate                   [___]       &lt;- =Savings / Income (formula)</t>
  </si>
  <si>
    <t xml:space="preserve">  Current Net Worth              [13,000,000] &lt;- links to Assumptions!C7</t>
  </si>
  <si>
    <t xml:space="preserve">  Current Liquid Portfolio       [___]       &lt;- =NW - Property Equity - CPF</t>
  </si>
  <si>
    <t xml:space="preserve">  CPF Balances: OA [150,000], SA [___], MA [___]</t>
  </si>
  <si>
    <t xml:space="preserve">  Property Equity (if any)       [___]       &lt;- links from property sheets</t>
  </si>
  <si>
    <t xml:space="preserve">  Other Illiquid Assets          [___]       &lt;- user input (blue)</t>
  </si>
  <si>
    <t>SECTION 3: FIRE TARGETS (Rows 30-42)</t>
  </si>
  <si>
    <t xml:space="preserve">  FIRE Type                      [Regular FIRE] &lt;- dropdown: Lean/Regular/Fat/Barista/Coast</t>
  </si>
  <si>
    <t xml:space="preserve">  Annual Expenses in Retirement  [___]       &lt;- user input or =current expenses x adjustment</t>
  </si>
  <si>
    <t xml:space="preserve">  Safe Withdrawal Rate (SWR)     [4.0%]      &lt;- user input, default 4%</t>
  </si>
  <si>
    <t xml:space="preserve">  FIRE Number                    [___]       &lt;- =Annual Retirement Expenses / SWR</t>
  </si>
  <si>
    <t xml:space="preserve">  Current Progress               [___]       &lt;- =Current NW / FIRE Number (%)</t>
  </si>
  <si>
    <t xml:space="preserve">  Years to FIRE (simple calc)    [___]       &lt;- formula using savings rate + portfolio return</t>
  </si>
  <si>
    <t xml:space="preserve">  Coast FIRE Number              [___]       &lt;- =FIRE Number / (1+return)^(retirement age - current age)</t>
  </si>
  <si>
    <t xml:space="preserve">  Coast FIRE Status              [___]       &lt;- =IF(Current NW &gt;= Coast FIRE, "Achieved!", "Not yet")</t>
  </si>
  <si>
    <t xml:space="preserve">  Barista FIRE Income Needed     [___]       &lt;- =MAX(0, Annual Expenses - (Portfolio x SWR))</t>
  </si>
  <si>
    <t>SECTION 4: KEY ASSUMPTIONS (Rows 44-52)</t>
  </si>
  <si>
    <t xml:space="preserve">  Pre-Retirement Portfolio Return [5.5%]     &lt;- links to Asset Allocation expected return</t>
  </si>
  <si>
    <t xml:space="preserve">  Post-Retirement Portfolio Return [4.5%]    &lt;- links to Asset Allocation (post-retirement alloc)</t>
  </si>
  <si>
    <t xml:space="preserve">  Inflation Rate                  [2.5%]     &lt;- links to Assumptions!C47</t>
  </si>
  <si>
    <t xml:space="preserve">  Real Return (calc)              [___]      &lt;- =(1+nominal)/(1+inflation)-1</t>
  </si>
  <si>
    <t xml:space="preserve">  Portfolio Volatility            [9%]       &lt;- links to Asset Allocation portfolio std dev</t>
  </si>
  <si>
    <t>Key Formulas:</t>
  </si>
  <si>
    <t>- FIRE Number: =Annual_Retirement_Expenses / SWR</t>
  </si>
  <si>
    <t>- Years to FIRE: =NPER(real_return, -annual_savings, -current_NW, FIRE_number)</t>
  </si>
  <si>
    <t>- Coast FIRE: =FIRE_Number / (1+expected_return)^(retirement_age - current_age)</t>
  </si>
  <si>
    <t>- Progress %: =Current_NW / FIRE_Number</t>
  </si>
  <si>
    <t>4C. Income Engine</t>
  </si>
  <si>
    <t>Section A: Salary Progression Model</t>
  </si>
  <si>
    <t>SALARY MODEL SELECTOR: [Dropdown: Simple / Realistic / Data-Driven]</t>
  </si>
  <si>
    <t>Simple Model:</t>
  </si>
  <si>
    <t xml:space="preserve">  Current Annual Gross Salary     [___]     &lt;- user input (blue)</t>
  </si>
  <si>
    <t xml:space="preserve">  Annual Growth Rate              [3%]      &lt;- user input (blue)</t>
  </si>
  <si>
    <t xml:space="preserve">  Salary at Retirement (calc)     [___]     &lt;- =Salary x (1+growth)^years</t>
  </si>
  <si>
    <t>Realistic Model:</t>
  </si>
  <si>
    <t xml:space="preserve">  Career Phase Growth Rates:</t>
  </si>
  <si>
    <t xml:space="preserve">    Early Career (22-30)          [8%]</t>
  </si>
  <si>
    <t xml:space="preserve">    Mid Career (30-40)            [5%]</t>
  </si>
  <si>
    <t xml:space="preserve">    Peak Earning (40-50)          [3%]</t>
  </si>
  <si>
    <t xml:space="preserve">    Plateau (50-60)               [1%]</t>
  </si>
  <si>
    <t xml:space="preserve">    Pre-Retirement (60-65)        [-2%]</t>
  </si>
  <si>
    <t xml:space="preserve">  Promotion Jumps (up to 3):</t>
  </si>
  <si>
    <t xml:space="preserve">    Jump 1: Age [__] &gt; +[__%] increase</t>
  </si>
  <si>
    <t xml:space="preserve">    Jump 2: Age [__] &gt; +[__%] increase</t>
  </si>
  <si>
    <t xml:space="preserve">    Jump 3: Age [__] &gt; +[__%] increase</t>
  </si>
  <si>
    <t>Data-Driven Model:</t>
  </si>
  <si>
    <t xml:space="preserve">  Education Level                 [Dropdown: Below Secondary / Secondary / Post-Sec / Diploma / Degree]</t>
  </si>
  <si>
    <t xml:space="preserve">  Industry (optional)             [Dropdown: All / Finance / Tech / Healthcare / Public Sector / ...]</t>
  </si>
  <si>
    <t xml:space="preserve">  Adjustment Factor               [100%]    &lt;- user multiplier vs MOM median</t>
  </si>
  <si>
    <t xml:space="preserve">  &gt; Auto-fills salary curve from embedded MOM data</t>
  </si>
  <si>
    <t>MOM Salary Benchmark Data (embedded in Historical Data sheet)</t>
  </si>
  <si>
    <t>Source: Singapore MOM Labour Force Survey (Table 7B)</t>
  </si>
  <si>
    <t>Age Group | Below Sec | Secondary | Post-Sec | Diploma | Degree</t>
  </si>
  <si>
    <t>20-24     |   $20,280 |   $22,620 |  $24,960 | $28,080 | $42,000</t>
  </si>
  <si>
    <t>25-29     |   $24,960 |   $28,080 |  $32,760 | $36,960 | $57,000</t>
  </si>
  <si>
    <t>30-34     |   $28,080 |   $33,540 |  $39,000 | $45,240 | $72,000</t>
  </si>
  <si>
    <t>35-39     |   $30,420 |   $37,440 |  $43,680 | $50,700 | $85,800</t>
  </si>
  <si>
    <t>40-44     |   $31,200 |   $39,000 |  $46,800 | $54,600 | $97,500</t>
  </si>
  <si>
    <t>45-49     |   $30,420 |   $39,000 |  $46,020 | $54,600 | $102,000</t>
  </si>
  <si>
    <t>50-54     |   $28,860 |   $36,660 |  $43,680 | $50,700 | $97,500</t>
  </si>
  <si>
    <t>55-59     |   $24,180 |   $31,200 |  $37,440 | $42,900 | $84,000</t>
  </si>
  <si>
    <t>60-64     |   $18,720 |   $24,180 |  $28,860 | $33,540 | $63,000</t>
  </si>
  <si>
    <t>(Values are approximate median annual figures, to be sourced/verified from latest MOM data)</t>
  </si>
  <si>
    <t>Section B: Multiple Income Streams (5 slots)</t>
  </si>
  <si>
    <t>Stream | Name             | Type        | Annual Amt | Growth Model      | Growth % | Start Age | End Age | Tax Treatment    | Active?</t>
  </si>
  <si>
    <t>1      | Primary Salary   | Employment  | [linked]   | [per model above] | [linked] | [current] | [ret]   | Taxable          | Y</t>
  </si>
  <si>
    <t>2      | Rental Income    | Rental      | [___]      | Fixed %           | [2%]     | [___]     | [___]   | Taxable          | N</t>
  </si>
  <si>
    <t>3      | Dividend/Interest| Investment  | [___]      | Portfolio-linked  | [___]    | [now]     | [life]  | Tax-exempt (SG)  | N</t>
  </si>
  <si>
    <t>4      | Side Hustle      | Business    | [___]      | Fixed %           | [___]    | [___]     | [___]   | Taxable          | N</t>
  </si>
  <si>
    <t>5      | CPF LIFE Payout  | Government  | [___]      | None (fixed nom.) | 0%       | [65]      | [life]  | Tax-exempt       | N</t>
  </si>
  <si>
    <t>Pre-configured templates via dropdown:</t>
  </si>
  <si>
    <t>- Single income, no property: Stream 1 only</t>
  </si>
  <si>
    <t>- Dual income couple: Stream 1 + Stream 2 (both employment)</t>
  </si>
  <si>
    <t>- Income + rental: Stream 1 + Stream 2 (rental)</t>
  </si>
  <si>
    <t>- Semi-retired: Stream 1 (part-time) + Stream 3 (dividends) + Stream 5 (CPF)</t>
  </si>
  <si>
    <t>- Fully retired: Stream 3 + Stream 5 only</t>
  </si>
  <si>
    <t>Section C: Life Events (Optional Toggle)</t>
  </si>
  <si>
    <t>LIFE EVENTS: [Toggle: OFF / ON]</t>
  </si>
  <si>
    <t>Event | Name | Start Age | End Age | Income Impact | Affected Streams | Savings Impact | CPF Impact</t>
  </si>
  <si>
    <t>1     | [___]| [___]     | [___]   | [___%]        | [1,2,3,4,5]     | [Yes/No]       | [Pause/Continue]</t>
  </si>
  <si>
    <t>2     | [___]| [___]     | [___]   | [___%]        | [1,2,3,4,5]     | [Yes/No]       | [Pause/Continue]</t>
  </si>
  <si>
    <t>3     | [___]| [___]     | [___]   | [___%]        | [1,2,3,4,5]     | [Yes/No]       | [Pause/Continue]</t>
  </si>
  <si>
    <t>4     | [___]| [___]     | [___]   | [___%]        | [1,2,3,4,5]     | [Yes/No]       | [Pause/Continue]</t>
  </si>
  <si>
    <t>Pre-loaded templates:</t>
  </si>
  <si>
    <t>- Career break at 35: 1 year, 0% employment income</t>
  </si>
  <si>
    <t>- Part-time 40-45: 50% employment income for 5 years</t>
  </si>
  <si>
    <t>- Retrenchment at 50: 6 months 0%, then 80% salary</t>
  </si>
  <si>
    <t>Section D: Summary Output Table</t>
  </si>
  <si>
    <t>Year-by-year projection from current age to life expectancy:</t>
  </si>
  <si>
    <t>Year | Age | Salary | Rental | Dividends | Side Inc | CPF Payout | TOTAL GROSS | SG Tax | TOTAL NET | Savings | Cumul. Savings | CPF OA | CPF SA | CPF MA</t>
  </si>
  <si>
    <t>(one row per year, ~60 rows for age 25 to 85)</t>
  </si>
  <si>
    <t>Summary metrics at bottom:</t>
  </si>
  <si>
    <t>- Lifetime earnings (nominal &amp; real)</t>
  </si>
  <si>
    <t>- Average savings rate over career</t>
  </si>
  <si>
    <t>- Total CPF contributions (employer + employee)</t>
  </si>
  <si>
    <t>Section E: Downstream Connections</t>
  </si>
  <si>
    <t>Income Engine outputs fed to:</t>
  </si>
  <si>
    <t>- Asset Allocation: annual investment amount &gt; portfolio growth</t>
  </si>
  <si>
    <t>- Monte Carlo: year-by-year contributions during accumulation</t>
  </si>
  <si>
    <t>- Withdrawal Strategies: post-retirement income streams reduce required withdrawals</t>
  </si>
  <si>
    <t>- Property Sheets: rental income auto-links to property cash flows</t>
  </si>
  <si>
    <t>CPF Contribution Logic (Singapore-specific)</t>
  </si>
  <si>
    <t>Age Group     | Employee Rate | Employer Rate | Total | OA    | SA    | MA</t>
  </si>
  <si>
    <t>Up to 55      | 20%          | 17%           | 37%   | 23%   | 6%    | 8%</t>
  </si>
  <si>
    <t>55-60         | 15%          | 14.5%         | 29.5% | 11.5% | 4.5%  | 13.5%</t>
  </si>
  <si>
    <t>60-65         | 9.5%         | 11%           | 20.5% | 3.5%  | 3%    | 14%</t>
  </si>
  <si>
    <t>65-70         | 7.5%         | 8.5%          | 16%   | 1%    | 1%    | 14%</t>
  </si>
  <si>
    <t>Above 70      | 5%           | 7.5%          | 12.5% | 1%    | 1%    | 10.5%</t>
  </si>
  <si>
    <t>Ordinary Wage Ceiling: $6,800/month</t>
  </si>
  <si>
    <t>Additional Wage Ceiling: $102,000 - (OW x 12)</t>
  </si>
  <si>
    <t>Annual CPF contribution = MIN(salary, OW_ceiling x 12) x total_rate + bonus_cpf</t>
  </si>
  <si>
    <t>4D. Historical Data (Hidden Sheet)</t>
  </si>
  <si>
    <t>Data to Embed - COLUMNS:</t>
  </si>
  <si>
    <t>A: Year (1926-2024)</t>
  </si>
  <si>
    <t>B: S&amp;P 500 Total Return (%) - includes dividends</t>
  </si>
  <si>
    <t>C: US 10-Year Treasury Return (%)</t>
  </si>
  <si>
    <t>D: US Intermediate Bonds Return (%)</t>
  </si>
  <si>
    <t>E: US CPI Inflation (%)</t>
  </si>
  <si>
    <t>F: STI Total Return (%) - 1987-2024, blank before</t>
  </si>
  <si>
    <t>G: Singapore 3-Month T-Bill Rate (%) - proxy for SG bonds</t>
  </si>
  <si>
    <t>H: SG Private Property Price Index Change (%) - 1975-2024</t>
  </si>
  <si>
    <t>I: SG CPI Inflation (%) - 1961-2024</t>
  </si>
  <si>
    <t>J: Gold Return (%) - 1971-2024</t>
  </si>
  <si>
    <t>K: Global REITs Return (%) - 1990-2024</t>
  </si>
  <si>
    <t>L: MSCI World ex-US Return (%) - 1970-2024</t>
  </si>
  <si>
    <t>Summary stats row at bottom: Mean, Median, Std Dev, Min, Max, Skewness, Kurtosis per column</t>
  </si>
  <si>
    <t>Correlation matrix (12x12) below that</t>
  </si>
  <si>
    <t>DATA SOURCES:</t>
  </si>
  <si>
    <t>- S&amp;P 500 + US Bonds + US CPI: Shiller CAPE dataset / Damodaran NYU</t>
  </si>
  <si>
    <t>- SG Property Index: URA Private Residential Property Price Index</t>
  </si>
  <si>
    <t>5. PHASE 2: ASSET ALLOCATION + PORTFOLIO ENGINE</t>
  </si>
  <si>
    <t>Asset Allocation Sheet</t>
  </si>
  <si>
    <t>Section A: Allocation Builder</t>
  </si>
  <si>
    <t>Asset Class          | Current % | Target % (Retirement) | Expected Return | Std Dev | Sharpe</t>
  </si>
  <si>
    <t>US Equities (S&amp;P500) | [40%]     | [30%]                | [10.2%]         | [15.5%] | [auto]</t>
  </si>
  <si>
    <t>SG Equities (STI)    | [10%]     | [10%]                | [8.5%]          | [18.0%] | [auto]</t>
  </si>
  <si>
    <t>Intl Equities (MSCI) | [10%]     | [5%]                 | [8.0%]          | [16.0%] | [auto]</t>
  </si>
  <si>
    <t>Bonds (Aggregate)    | [20%]     | [35%]                | [4.5%]          | [5.5%]  | [auto]</t>
  </si>
  <si>
    <t>REITs                | [5%]      | [5%]                 | [8.0%]          | [18.5%] | [auto]</t>
  </si>
  <si>
    <t>Gold                 | [5%]      | [5%]                 | [6.5%]          | [15.0%] | [auto]</t>
  </si>
  <si>
    <t>Cash                 | [5%]      | [5%]                 | [2.0%]          | [1.0%]  | [auto]</t>
  </si>
  <si>
    <t>CPF (OA+SA blend)    | [5%]      | [5%]                 | [3.0%]          | [0.0%]  | [auto]</t>
  </si>
  <si>
    <t>TOTAL                | 100%      | 100%                 | [weighted avg]  | [port]  | [auto]</t>
  </si>
  <si>
    <t>Note: Expected returns and std devs auto-populated from Historical Data sheet. User can override (blue cells).</t>
  </si>
  <si>
    <t>Section B: Pre-Built Templates (dropdown selector)</t>
  </si>
  <si>
    <t>Template              | US Eq | SG Eq | Intl | Bonds | REITs | Gold | Cash | CPF</t>
  </si>
  <si>
    <t>Conservative (30/70)  |  15%  |   5%  |  5%  |  45%  |   5%  |  5%  | 15%  |  5%</t>
  </si>
  <si>
    <t>Balanced (60/40)      |  30%  |  10%  | 10%  |  25%  |   5%  |  5%  | 10%  |  5%</t>
  </si>
  <si>
    <t>Aggressive (80/20)    |  45%  |  15%  | 15%  |  10%  |   5%  |  5%  |  0%  |  5%</t>
  </si>
  <si>
    <t>All-Weather           |  30%  |   0%  |  0%  |  40%  |   0%  | 15%  | 15%  |  0%</t>
  </si>
  <si>
    <t>Singapore-Centric     |  15%  |  25%  | 10%  |  20%  |  10%  |  5%  | 10%  |  5%</t>
  </si>
  <si>
    <t>CPF-Heavy             |  20%  |  10%  |  5%  |  15%  |   5%  |  5%  |  5%  | 35%</t>
  </si>
  <si>
    <t>Section C: Glide Path Configuration</t>
  </si>
  <si>
    <t>Glide Path: [Toggle: OFF / ON]</t>
  </si>
  <si>
    <t>Transition Method: [Dropdown: Linear / Slow Start / Fast Start]</t>
  </si>
  <si>
    <t>Transition Period: [___] years (default = retirement duration)</t>
  </si>
  <si>
    <t>Year-by-year allocation table (auto-generated): shows how allocation shifts from current to target over time</t>
  </si>
  <si>
    <t>Section D: Portfolio Statistics (auto-calculated)</t>
  </si>
  <si>
    <t>Portfolio Expected Return (nominal):  [___]%   &lt;- weighted average of class returns</t>
  </si>
  <si>
    <t>Portfolio Expected Return (real):     [___]%   &lt;- adjusted for inflation</t>
  </si>
  <si>
    <t>Portfolio Std Dev (volatility):       [___]%   &lt;- from correlation matrix + weights</t>
  </si>
  <si>
    <t>Portfolio Sharpe Ratio:               [___]    &lt;- (return - risk-free) / std dev</t>
  </si>
  <si>
    <t>Max Historical Drawdown:              [___]%   &lt;- from historical data</t>
  </si>
  <si>
    <t>95% VaR (1-year):                     [___]%   &lt;- =return - 1.645 x std dev</t>
  </si>
  <si>
    <t>Diversification Ratio:                [___]    &lt;- weighted avg std dev / portfolio std dev</t>
  </si>
  <si>
    <t>Section E: Correlation Matrix Display</t>
  </si>
  <si>
    <t>12x12 correlation matrix pulled from Historical Data sheet, color-coded: green (low) to red (high)</t>
  </si>
  <si>
    <t>Downstream Connections:</t>
  </si>
  <si>
    <t>Asset Allocation feeds: Monte Carlo, FIRE Profile, Withdrawal Strategies, Historical Backtest, Assumptions sheet</t>
  </si>
  <si>
    <t>6. PHASE 3: MONTE CARLO SIMULATION</t>
  </si>
  <si>
    <t>Monte Carlo Engine Sheet</t>
  </si>
  <si>
    <t>Methodology:</t>
  </si>
  <si>
    <t>1. Python generates 10,000 simulated retirement paths</t>
  </si>
  <si>
    <t>2. Each path: N years (retirement duration)</t>
  </si>
  <si>
    <t>3. Each year's return: drawn from multivariate normal distribution using portfolio expected return, std dev, and correlation matrix</t>
  </si>
  <si>
    <t>4. Optional: Bootstrap from historical returns instead of parametric</t>
  </si>
  <si>
    <t>5. Apply withdrawal strategy to each path</t>
  </si>
  <si>
    <t>6. Track: portfolio balance, withdrawals, success/failure per path</t>
  </si>
  <si>
    <t>7. Output: percentile bands (5th, 10th, 25th, 50th, 75th, 90th, 95th)</t>
  </si>
  <si>
    <t>Python Simulation Logic (pseudo-code):</t>
  </si>
  <si>
    <t>- Calculate portfolio-level return and std dev from weights</t>
  </si>
  <si>
    <t>- Generate correlated returns (parametric normal or historical bootstrap)</t>
  </si>
  <si>
    <t>- Simulate each path: apply return, then contribution or withdrawal based on phase</t>
  </si>
  <si>
    <t>- Check for failure (portfolio &lt;= 0)</t>
  </si>
  <si>
    <t>- Output: success_rate, percentiles (7 x n_years+1), median_terminal, mean_terminal, worst/best case, safe_withdrawal_rate</t>
  </si>
  <si>
    <t>Sheet Layout:</t>
  </si>
  <si>
    <t>SIMULATION PARAMETERS (Rows 1-10)</t>
  </si>
  <si>
    <t xml:space="preserve">  Portfolio Size, Retirement Duration, Withdrawal Strategy, SWR, Portfolio Return, Portfolio Std Dev</t>
  </si>
  <si>
    <t xml:space="preserve">  Number of Simulations [10,000], Method [Parametric/Historical Bootstrap], Inflation, Last Run Date</t>
  </si>
  <si>
    <t>KEY RESULTS (Rows 12-25)</t>
  </si>
  <si>
    <t xml:space="preserve">  Success Rate [___]% &lt;- big, color-coded</t>
  </si>
  <si>
    <t xml:space="preserve">  Median Terminal Portfolio $[___]</t>
  </si>
  <si>
    <t xml:space="preserve">  5th Percentile Terminal $[___] &lt;- worst realistic case</t>
  </si>
  <si>
    <t xml:space="preserve">  95th Percentile Terminal $[___] &lt;- best realistic case</t>
  </si>
  <si>
    <t xml:space="preserve">  Worst Case Terminal $[___]</t>
  </si>
  <si>
    <t xml:space="preserve">  Max SWR at 95% Success [___]%</t>
  </si>
  <si>
    <t xml:space="preserve">  Max SWR at 90% Success [___]%</t>
  </si>
  <si>
    <t xml:space="preserve">  Max SWR at 85% Success [___]%</t>
  </si>
  <si>
    <t>PERCENTILE BANDS TABLE (Rows 27-90)</t>
  </si>
  <si>
    <t xml:space="preserve">  Year | 5th | 10th | 25th | 50th | 75th | 90th | 95th</t>
  </si>
  <si>
    <t xml:space="preserve">  (one row per year, 0 to 30+)</t>
  </si>
  <si>
    <t xml:space="preserve">  &gt; Fan chart created from this table</t>
  </si>
  <si>
    <t>SCENARIO COMPARISON (Rows 92-110)</t>
  </si>
  <si>
    <t xml:space="preserve">  Run MC for 3 scenarios side by side:</t>
  </si>
  <si>
    <t xml:space="preserve">  1. Current allocation (60/40 or custom)</t>
  </si>
  <si>
    <t xml:space="preserve">  2. Alternative allocation (user picks template)</t>
  </si>
  <si>
    <t xml:space="preserve">  3. Property + portfolio hybrid</t>
  </si>
  <si>
    <t xml:space="preserve">  Each shows: success rate, median terminal, SWR at 95%</t>
  </si>
  <si>
    <t>Property Hybrid Simulation:</t>
  </si>
  <si>
    <t>MC handles liquid portfolio only. Property returns use discrete scenarios:</t>
  </si>
  <si>
    <t>Property Scenario   | Probability | Appreciation | Description</t>
  </si>
  <si>
    <t>Bull (boom)         | 15%         | +6% p.a.    | Strong market</t>
  </si>
  <si>
    <t>Base (normal)       | 50%         | +3% p.a.    | Historical average</t>
  </si>
  <si>
    <t>Stagnation          | 20%         | +0.5% p.a.  | Flat market</t>
  </si>
  <si>
    <t>Crash (GFC-style)   | 10%         | -15% Y1-2, then +2% | Sharp decline, recovery</t>
  </si>
  <si>
    <t>Asian Crisis repeat | 5%          | -25% Y1-3, then +3% | Severe, slow recovery</t>
  </si>
  <si>
    <t>For each MC sim, randomly assign property scenario (weighted), then run liquid portfolio MC normally</t>
  </si>
  <si>
    <t>7. PHASE 4: WITHDRAWAL STRATEGIES + SEQUENCE RISK</t>
  </si>
  <si>
    <t>Withdrawal Strategies Sheet - 6 Strategies Implemented</t>
  </si>
  <si>
    <t>STRATEGY 1: CONSTANT DOLLAR (THE 4% RULE)</t>
  </si>
  <si>
    <t>- Year 1 withdrawal = Portfolio x SWR</t>
  </si>
  <si>
    <t>- Each subsequent year: previous withdrawal x (1 + inflation)</t>
  </si>
  <si>
    <t>STRATEGY 2: VARIABLE PERCENTAGE WITHDRAWAL (VPW)</t>
  </si>
  <si>
    <t>- Each year: withdraw = Portfolio x VPW_rate(remaining_years, expected_return)</t>
  </si>
  <si>
    <t>- VPW rate from actuarial PMT table: increases as remaining years decrease</t>
  </si>
  <si>
    <t>STRATEGY 3: GUARDRAILS (GUYTON-KLINGER)</t>
  </si>
  <si>
    <t>- Start with initial withdrawal rate (e.g., 5%)</t>
  </si>
  <si>
    <t>- Capital Preservation Rule: if current_rate &gt; initial_rate x 1.2, cut withdrawal by 10%</t>
  </si>
  <si>
    <t>- Prosperity Rule: if current_rate &lt; initial_rate x 0.8, raise withdrawal by 10%</t>
  </si>
  <si>
    <t>- Pros: Higher initial rate than 4% rule, auto-corrects / Cons: More complex, occasional spending cuts</t>
  </si>
  <si>
    <t>STRATEGY 4: VANGUARD DYNAMIC SPENDING</t>
  </si>
  <si>
    <t>- Year 1: Portfolio x SWR</t>
  </si>
  <si>
    <t>- Each subsequent year: previous_withdrawal x (1 + inflation), BUT:</t>
  </si>
  <si>
    <t xml:space="preserve">  - Ceiling: cannot increase more than +5% from prior year</t>
  </si>
  <si>
    <t xml:space="preserve">  - Floor: cannot decrease more than -2.5% from prior year</t>
  </si>
  <si>
    <t>STRATEGY 5: CAPE-BASED WITHDRAWAL</t>
  </si>
  <si>
    <t>- withdrawal_rate = 1 / CAPE_ratio (or variant: 0.5/CAPE + 0.5 x base_rate)</t>
  </si>
  <si>
    <t>- When market is expensive (high CAPE), withdraw less; when cheap, withdraw more</t>
  </si>
  <si>
    <t>STRATEGY 6: FLOOR-AND-CEILING</t>
  </si>
  <si>
    <t>- Floor: minimum annual withdrawal (covers essential expenses) - never go below</t>
  </si>
  <si>
    <t>- Ceiling: maximum annual withdrawal - never exceed</t>
  </si>
  <si>
    <t>- Between floor and ceiling: withdraw Portfolio x target_rate</t>
  </si>
  <si>
    <t>- Pros: Guarantees minimum lifestyle, caps excess spending / Cons: Floor creates depletion risk if set too high</t>
  </si>
  <si>
    <t>INPUTS (Rows 1-15): Initial Portfolio, Retirement Duration, Base SWR, Annual Expenses (min/desired), Portfolio Return, Inflation, CAPE Ratio</t>
  </si>
  <si>
    <t>STRATEGY-SPECIFIC PARAMETERS (Rows 17-35):</t>
  </si>
  <si>
    <t xml:space="preserve">  Constant Dollar: SWR [4%]</t>
  </si>
  <si>
    <t xml:space="preserve">  VPW: Expected Return [5%], Target End Value [$0]</t>
  </si>
  <si>
    <t xml:space="preserve">  Guardrails: Initial Rate [5%], Ceiling Trigger [120%], Floor Trigger [80%], Adj Size [10%]</t>
  </si>
  <si>
    <t xml:space="preserve">  Vanguard: Ceiling [+5%], Floor [-2.5%]</t>
  </si>
  <si>
    <t xml:space="preserve">  CAPE: Base Rate [4%], CAPE Weight [50%]</t>
  </si>
  <si>
    <t xml:space="preserve">  Floor-Ceiling: Floor [$60K], Ceiling [$150K], Target Rate [4.5%]</t>
  </si>
  <si>
    <t>COMPARISON TABLE (Rows 37-100):</t>
  </si>
  <si>
    <t xml:space="preserve">  Year | Age | Portfolio (each strategy) | Withdrawal (each strategy) - all 6 side by side</t>
  </si>
  <si>
    <t>SUMMARY METRICS (Rows 102-120):</t>
  </si>
  <si>
    <t xml:space="preserve">  Strategy | Avg Withdrawal | Min Withdrawal | Max Withdrawal | Withdrawal StdDev | Terminal Portfolio | Success Rate (MC)</t>
  </si>
  <si>
    <t xml:space="preserve">  Recommendation: auto-generated based on user's FIRE type and risk tolerance</t>
  </si>
  <si>
    <t>Sequence Risk Sheet</t>
  </si>
  <si>
    <t>Pre-Loaded Historical Crises:</t>
  </si>
  <si>
    <t>Crisis              | Region | Year  | Equity Drawdown | Duration | Recovery</t>
  </si>
  <si>
    <t>Great Depression    | US     | 1929  | -86%            | 3 years  | 25 years</t>
  </si>
  <si>
    <t>Oil Crisis          | Global | 1973  | -48%            | 2 years  | 7 years</t>
  </si>
  <si>
    <t>Asian Financial     | Asia   | 1997  | -60% (STI)      | 1 year   | 5 years</t>
  </si>
  <si>
    <t>Dot-Com Bust        | US     | 2000  | -49%            | 3 years  | 7 years</t>
  </si>
  <si>
    <t>GFC                 | Global | 2008  | -57%            | 1.5 yr   | 5.5 years</t>
  </si>
  <si>
    <t>COVID Crash         | Global | 2020  | -34%            | 0.3 yr   | 0.5 years</t>
  </si>
  <si>
    <t>Japan Lost Decade   | Japan  | 1989  | -80%            | 13 years | never (30yr)</t>
  </si>
  <si>
    <t>SG Property Crash   | SG     | 1997  | -45% (property) | 2 years  | 10 years</t>
  </si>
  <si>
    <t>SCENARIO SELECTOR: [Dropdown: select a crisis to stress-test]</t>
  </si>
  <si>
    <t>STRESS TEST RESULTS (crisis applied to Year 1-5 of retirement):</t>
  </si>
  <si>
    <t xml:space="preserve">  Normal Sequence vs Crisis-First Sequence comparison at Year 5, 10, 20, 30</t>
  </si>
  <si>
    <t xml:space="preserve">  Per withdrawal strategy: Normal Success vs Crisis-First Success and Degradation</t>
  </si>
  <si>
    <t>SEQUENCE COMPARISON CHART:</t>
  </si>
  <si>
    <t xml:space="preserve">  Two lines: good-first returns vs bad-first returns with same average</t>
  </si>
  <si>
    <t xml:space="preserve">  Shows how ORDER of returns matters, not just average</t>
  </si>
  <si>
    <t>MITIGATION STRATEGIES:</t>
  </si>
  <si>
    <t>- Bond tent: increase bonds 5 years before and after retirement</t>
  </si>
  <si>
    <t>- Cash buffer: hold 2-3 years expenses in cash</t>
  </si>
  <si>
    <t>- Flexible spending: use Guardrails or VPW</t>
  </si>
  <si>
    <t>- Part-time income: Barista FIRE in early years</t>
  </si>
  <si>
    <t>8. PHASE 5: HISTORICAL BACKTESTING</t>
  </si>
  <si>
    <t>Historical Backtest Sheet</t>
  </si>
  <si>
    <t>Methodology (Bengen-Style):</t>
  </si>
  <si>
    <t>For every possible start year in the historical data:</t>
  </si>
  <si>
    <t xml:space="preserve">  1. Take the investor's portfolio allocation</t>
  </si>
  <si>
    <t xml:space="preserve">  2. Apply actual historical returns for that year sequence</t>
  </si>
  <si>
    <t xml:space="preserve">  3. Apply the chosen withdrawal strategy</t>
  </si>
  <si>
    <t xml:space="preserve">  4. Track portfolio balance each year</t>
  </si>
  <si>
    <t xml:space="preserve">  5. Determine: did the portfolio survive the full retirement duration?</t>
  </si>
  <si>
    <t xml:space="preserve">  6. Record: ending balance, minimum balance, worst drawdown year</t>
  </si>
  <si>
    <t>Repeat for EVERY start year (1926, 1927, ... 2024) = ~70-99 overlapping simulations</t>
  </si>
  <si>
    <t>INPUTS (Rows 1-10): Portfolio Size, Allocation, Withdrawal Strategy, SWR, Retirement Duration, Market [US Only / Singapore Only / Blended]</t>
  </si>
  <si>
    <t>ROLLING WINDOW RESULTS (Rows 12-120):</t>
  </si>
  <si>
    <t xml:space="preserve">  Start Year | End Year | Survived? | Ending Balance | Min Balance | Worst Year | Best Year | Total Withdrawn</t>
  </si>
  <si>
    <t xml:space="preserve">  (one row per start year)</t>
  </si>
  <si>
    <t>SUMMARY (Rows 122-135):</t>
  </si>
  <si>
    <t xml:space="preserve">  Total Simulations, Successful, Failed, Success Rate (big, color-coded)</t>
  </si>
  <si>
    <t xml:space="preserve">  Worst Start Year, Best Start Year, Median Ending Balance, Average Total Withdrawn</t>
  </si>
  <si>
    <t>HEAT MAP TABLE (Rows 137-160):</t>
  </si>
  <si>
    <t xml:space="preserve">  Withdrawal Rate x Retirement Duration</t>
  </si>
  <si>
    <t xml:space="preserve">  SWR    | 15yr | 20yr | 25yr | 30yr | 35yr | 40yr</t>
  </si>
  <si>
    <t xml:space="preserve">  3.0%   | 100% | 100% | 100% | 100% | 100% | 98%</t>
  </si>
  <si>
    <t xml:space="preserve">  3.5%   | 100% | 100% | 100% | 98%  | 95%  | 91%</t>
  </si>
  <si>
    <t xml:space="preserve">  4.0%   | 100% | 100% | 98%  | 95%  | 88%  | 82%</t>
  </si>
  <si>
    <t xml:space="preserve">  4.5%   | 100% | 98%  | 93%  | 87%  | 78%  | 70%</t>
  </si>
  <si>
    <t xml:space="preserve">  5.0%   | 100% | 95%  | 85%  | 76%  | 65%  | 55%</t>
  </si>
  <si>
    <t xml:space="preserve">  5.5%   | 98%  | 90%  | 78%  | 65%  | 52%  | 42%</t>
  </si>
  <si>
    <t xml:space="preserve">  6.0%   | 95%  | 82%  | 68%  | 55%  | 40%  | 30%</t>
  </si>
  <si>
    <t xml:space="preserve">  Color coding: green (95%+) &gt; yellow (80-95%) &gt; orange (60-80%) &gt; red (&lt;60%)</t>
  </si>
  <si>
    <t>SINGAPORE-SPECIFIC BACKTEST (if STI data selected):</t>
  </si>
  <si>
    <t xml:space="preserve">  Same structure using STI + SG bond returns (shorter: 1987-2024)</t>
  </si>
  <si>
    <t xml:space="preserve">  Fewer data points = less statistical confidence</t>
  </si>
  <si>
    <t xml:space="preserve">  Show side-by-side: US vs SG backtest results</t>
  </si>
  <si>
    <t>9. PHASE 6: FIRE DASHBOARD + ONBOARDING + INTEGRATION</t>
  </si>
  <si>
    <t>FIRE Dashboard</t>
  </si>
  <si>
    <t>ROW 1-3: TITLE + LAST UPDATED</t>
  </si>
  <si>
    <t>ROW 5-15: STATUS PANEL (headline numbers)</t>
  </si>
  <si>
    <t xml:space="preserve">  FIRE Number: $X,XXX,XXX</t>
  </si>
  <si>
    <t xml:space="preserve">  Current Progress: XX% (bar) ($Y / $X)</t>
  </si>
  <si>
    <t xml:space="preserve">  Years to FIRE: X.X years (age XX)</t>
  </si>
  <si>
    <t xml:space="preserve">  Monte Carlo Success Rate: XX% [green/yellow/red]</t>
  </si>
  <si>
    <t xml:space="preserve">  Recommended SWR: X.X% ($XX,XXX/year)</t>
  </si>
  <si>
    <t xml:space="preserve">  Property Impact: FIRE date shifts by +/- X years</t>
  </si>
  <si>
    <t>ROW 17-35: ACCUMULATION CHART (Pre-FIRE users)</t>
  </si>
  <si>
    <t xml:space="preserve">  X-axis: Age / Y-axis: Portfolio Value</t>
  </si>
  <si>
    <t xml:space="preserve">  Lines: Current trajectory, FIRE Number target line</t>
  </si>
  <si>
    <t xml:space="preserve">  Shaded: Monte Carlo percentile bands (5th-95th)</t>
  </si>
  <si>
    <t xml:space="preserve">  Marker: You are here + FIRE date</t>
  </si>
  <si>
    <t>ROW 37-55: DECUMULATION CHART (Post-FIRE users)</t>
  </si>
  <si>
    <t xml:space="preserve">  X-axis: Years in retirement / Y-axis: Portfolio Value</t>
  </si>
  <si>
    <t xml:space="preserve">  Fan chart: MC percentile bands, Horizontal line: $0 (failure threshold)</t>
  </si>
  <si>
    <t xml:space="preserve">  Withdrawal strategy overlay</t>
  </si>
  <si>
    <t>ROW 57-70: WITHDRAWAL STRATEGY COMPARISON (mini version)</t>
  </si>
  <si>
    <t xml:space="preserve">  Strategy | Success Rate | Avg Annual $ | Min Year $ | Recommendation</t>
  </si>
  <si>
    <t>ROW 72-85: INCOME STREAMS TIMELINE</t>
  </si>
  <si>
    <t xml:space="preserve">  Stacked area chart: salary + rental + dividends + CPF over lifetime</t>
  </si>
  <si>
    <t>ROW 87-100: SCENARIO COMPARISON</t>
  </si>
  <si>
    <t xml:space="preserve">  Buy FH Condo &gt; FIRE at age X, success rate Y%</t>
  </si>
  <si>
    <t xml:space="preserve">  Buy HDB &gt; FIRE at age X, success rate Y%</t>
  </si>
  <si>
    <t xml:space="preserve">  No property &gt; FIRE at age X, success rate Y%</t>
  </si>
  <si>
    <t xml:space="preserve">  Aggressive allocation &gt; FIRE at age X, success rate Y%</t>
  </si>
  <si>
    <t xml:space="preserve">  Conservative allocation &gt; FIRE at age X, success rate Y%</t>
  </si>
  <si>
    <t>ROW 102-115: RISK DASHBOARD</t>
  </si>
  <si>
    <t xml:space="preserve">  Sequence Risk Score: [Low / Medium / High]</t>
  </si>
  <si>
    <t xml:space="preserve">  Worst Historical Scenario: If you retired in [year], portfolio would [survive/fail]</t>
  </si>
  <si>
    <t xml:space="preserve">  Inflation Risk: Your real purchasing power after 30 years: $XXX of today's $XXX</t>
  </si>
  <si>
    <t xml:space="preserve">  Longevity Risk: If you live to 95 instead of 85: success rate drops to XX%</t>
  </si>
  <si>
    <t>ROW 117-125: ACTION ITEMS (auto-generated)</t>
  </si>
  <si>
    <t xml:space="preserve">  - Consider increasing savings rate by 5% to accelerate FIRE by 3 years</t>
  </si>
  <si>
    <t xml:space="preserve">  - Your current allocation is too aggressive for post-retirement - consider 50/50</t>
  </si>
  <si>
    <t xml:space="preserve">  - CPF LIFE payout at 65 reduces required SWR from 4% to 3.2%</t>
  </si>
  <si>
    <t xml:space="preserve">  - Property purchase delays FIRE by 2 years but provides diversification</t>
  </si>
  <si>
    <t>Reference Guide</t>
  </si>
  <si>
    <t>Sections:</t>
  </si>
  <si>
    <t>1. WHAT IS FIRE? - Types: Lean/Regular/Fat/Barista/Coast. The FIRE equation: Savings Rate &gt; Time to FIRE</t>
  </si>
  <si>
    <t>2. THE 4% RULE - Bengen 1994, Trinity Study, Limitations: US-centric, 30yr max, no fees/taxes</t>
  </si>
  <si>
    <t>3. SAFE WITHDRAWAL RATES - Definition, SWR vs withdrawal strategy, how SWR changes with duration/allocation/flexibility</t>
  </si>
  <si>
    <t>4. MONTE CARLO SIMULATION - What it is, parametric vs bootstrap, interpreting results, limitations (fat tails)</t>
  </si>
  <si>
    <t>5. SEQUENCE OF RETURNS RISK - Why order matters, retirement red zone, mitigation strategies</t>
  </si>
  <si>
    <t>6. ASSET ALLOCATION - Markowitz basics, diversification, glide paths, CPF as fixed-income</t>
  </si>
  <si>
    <t>7. WITHDRAWAL STRATEGIES EXPLAINED - Detailed explanation of each of 6 strategies, pros/cons</t>
  </si>
  <si>
    <t>8. SINGAPORE-SPECIFIC - CPF system, SRS, tax implications, HDB vs Private, Bala's Table, SG inflation</t>
  </si>
  <si>
    <t>9. HOW TO USE THIS WORKBOOK - Sheet-by-sheet guide, blue = input, how to run MC, troubleshooting</t>
  </si>
  <si>
    <t>10. GLOSSARY - FIRE Number, SWR, CAPE, Sharpe Ratio, Drawdown, Sequence Risk, Glide Path, VPW, Guardrails, Coast FIRE, etc.</t>
  </si>
  <si>
    <t>Integration with Existing Property Model</t>
  </si>
  <si>
    <t>CONNECTIONS TO ADD:</t>
  </si>
  <si>
    <t>1. FIRE Profile &lt;-&gt; Assumptions: Current age, net worth, CPF balances bidirectional. Inflation rate shared.</t>
  </si>
  <si>
    <t>2. Income Engine -&gt; Property Sheets: Rental income auto-populate from property cash flows. Property exit as life events.</t>
  </si>
  <si>
    <t>3. Monte Carlo -&gt; Opportunity Cost: Liquid portfolio MC replaces deterministic 5.5% CAGR. Percentile bands instead of single line.</t>
  </si>
  <si>
    <t>4. FIRE Dashboard -&gt; Dashboard (existing): Add FIRE metrics row. Impact on FIRE date column in property ranking.</t>
  </si>
  <si>
    <t>5. Asset Allocation -&gt; Assumptions: Portfolio expected return replaces hardcoded 5.5% CAGR. Portfolio std dev replaces 9%.</t>
  </si>
  <si>
    <t>6. Withdrawal Strategies -&gt; Opportunity Cost: Post-retirement shows how each property affects withdrawal capacity.</t>
  </si>
  <si>
    <t>10. USER JOURNEYS</t>
  </si>
  <si>
    <t>Journey 1: Fresh Graduate (Age 25, $4K/month)</t>
  </si>
  <si>
    <t>1. Start Here &gt; Pre-FIRE</t>
  </si>
  <si>
    <t>2. FIRE Profile: age 25, income $48K, expenses $30K, savings $18K, NW $50K</t>
  </si>
  <si>
    <t>3. Income Engine: Data-Driven (MOM) + Degree + industry &gt; salary curve: $48K &gt; $85K by 35 &gt; $102K by 50</t>
  </si>
  <si>
    <t>4. Asset Allocation: Aggressive (80/20) template</t>
  </si>
  <si>
    <t>5. FIRE Dashboard: FIRE number $750K (Lean), 12 years to FIRE at age 37</t>
  </si>
  <si>
    <t>6. Monte Carlo: 94% success rate at 3.5% SWR</t>
  </si>
  <si>
    <t>7. Reference Guide: reads about FIRE types, decides Regular FIRE instead</t>
  </si>
  <si>
    <t>Journey 2: Mid-Career Professional (Age 35, $15K/month, considering property)</t>
  </si>
  <si>
    <t>2. FIRE Profile: age 35, income $180K, expenses $96K, NW $800K</t>
  </si>
  <si>
    <t>3. Income Engine: Realistic + promotion at 38 (+40%) &gt; $180K &gt; $252K at 38 &gt; $350K by 45</t>
  </si>
  <si>
    <t>4. Asset Allocation: Balanced (60/40)</t>
  </si>
  <si>
    <t>5. Property sheets: evaluates FH Condo ($3.9M) vs no property</t>
  </si>
  <si>
    <t>6. FIRE Dashboard: Without property FIRE at 47 (96%), With FH Condo FIRE at 49 (93%) but $2M more NW at 60</t>
  </si>
  <si>
    <t>7. Monte Carlo: runs both scenarios side by side</t>
  </si>
  <si>
    <t>8. Sequence Risk: stress tests GFC at age 47</t>
  </si>
  <si>
    <t>9. Decision: buys property at 38, targets FIRE at 50</t>
  </si>
  <si>
    <t>Journey 3: Pre-Retiree (Age 55, $2M portfolio)</t>
  </si>
  <si>
    <t>1. Start Here &gt; Pre-FIRE (retiring at 58)</t>
  </si>
  <si>
    <t>2. FIRE Profile: age 55, NW $2M, expenses $80K, target retirement 58</t>
  </si>
  <si>
    <t>3. Income Engine: 3 streams - Salary ($200K ends 58), CPF LIFE ($18K starts 65), Dividends ($30K)</t>
  </si>
  <si>
    <t>4. Withdrawal Strategies: Guardrails $92K/yr 97% success; VPW $78K-$120K/yr 99% success</t>
  </si>
  <si>
    <t>5. Historical Backtest: 94% success at 4% SWR over 35 years (US data)</t>
  </si>
  <si>
    <t>6. Sequence Risk: 1973 oil crisis scenario survives but tight</t>
  </si>
  <si>
    <t>7. Action: adopts Guardrails, builds 3-year cash buffer before retiring</t>
  </si>
  <si>
    <t>Journey 4: Already Retired (Age 62, $3M portfolio)</t>
  </si>
  <si>
    <t>1. Start Here &gt; Post-FIRE</t>
  </si>
  <si>
    <t>2. FIRE Profile: age 62, NW $3M, expenses $120K, life expectancy 90</t>
  </si>
  <si>
    <t>3. Income Engine: CPF LIFE ($24K at 65), Rental ($36K), Dividends ($20K)</t>
  </si>
  <si>
    <t>4. Withdrawal Strategies: needs $40K from portfolio, effective SWR only 1.3% - very safe</t>
  </si>
  <si>
    <t>5. Monte Carlo: 99.8% success</t>
  </si>
  <si>
    <t>6. Sequence Risk: even worst historical scenario survives easily</t>
  </si>
  <si>
    <t>7. Dashboard: Your passive income covers 67% of expenses. You're in excellent shape.</t>
  </si>
  <si>
    <t>Journey 5: HNW Property Investor (Age 40, $13M NW)</t>
  </si>
  <si>
    <t>1. Uses existing property model as before</t>
  </si>
  <si>
    <t>2. NEW: FIRE Dashboard shows integrated view - property equity as part of FIRE number, rental reduces SWR</t>
  </si>
  <si>
    <t>3. Monte Carlo: separate runs for liquid vs property scenarios</t>
  </si>
  <si>
    <t>4. Withdrawal Strategies: with $15M NW, any strategy works</t>
  </si>
  <si>
    <t>5. Income Engine: salary ending at 50, rental forever, dividends growing</t>
  </si>
  <si>
    <t>6. Sequence Risk: main risk is property crash + market crash simultaneously</t>
  </si>
  <si>
    <t>Journey 6: Dual-Income Couple</t>
  </si>
  <si>
    <t>1. Income Engine: 2 employment streams + combined expenses</t>
  </si>
  <si>
    <t>2. FIRE Profile: combined NW, expenses for household</t>
  </si>
  <si>
    <t>3. Life Events: Spouse B takes 3-year career break at 35 for kids</t>
  </si>
  <si>
    <t>4. CPF: both CPFs modeled separately (different contribution schedules)</t>
  </si>
  <si>
    <t>5. FIRE Dashboard: household FIRE date, impact of career break (+2 years)</t>
  </si>
  <si>
    <t>11. TECHNICAL SPECIFICATIONS</t>
  </si>
  <si>
    <t>Formula vs Python Split:</t>
  </si>
  <si>
    <t>Excel Formula: FIRE Number calculation, Years to FIRE (NPER), Income projections, CPF contributions, Asset allocation stats, Withdrawal strategies, MOM salary data</t>
  </si>
  <si>
    <t>Python: Monte Carlo (10K sims), Historical backtest, Correlation matrix, SWR optimization</t>
  </si>
  <si>
    <t>Color Coding (all new sheets):</t>
  </si>
  <si>
    <t>Blue text (#0000FF): User input - edit these cells</t>
  </si>
  <si>
    <t>Black text (#000000): Formulas and calculations - don't edit</t>
  </si>
  <si>
    <t>Green text (#008000): Links from other sheets</t>
  </si>
  <si>
    <t>Gray background (#F2F2F2): Section headers / labels</t>
  </si>
  <si>
    <t>Yellow background (#FFFF00): Key results / attention needed</t>
  </si>
  <si>
    <t>Green background (#E2EFDA): Good / success / on track</t>
  </si>
  <si>
    <t>Red background (#FCE4EC): Warning / failure / off track</t>
  </si>
  <si>
    <t>Orange background (#FFF3E0): Caution / moderate risk</t>
  </si>
  <si>
    <t>Sheet Protection Plan:</t>
  </si>
  <si>
    <t>- Hidden sheet (Historical Data): very hidden</t>
  </si>
  <si>
    <t>- Structure: protected (prevent accidental sheet deletion)</t>
  </si>
  <si>
    <t>Performance Considerations:</t>
  </si>
  <si>
    <t>- Monte Carlo: Python runs in &lt;10 seconds for 10K sims</t>
  </si>
  <si>
    <t>- Historical backtest: Python processes in &lt;5 seconds</t>
  </si>
  <si>
    <t>- Formulas: all should calculate in &lt;1 second</t>
  </si>
  <si>
    <t>- Sheet size: keep each sheet under 200 rows x 20 columns where possible</t>
  </si>
  <si>
    <t>- Use named ranges for all cross-sheet references</t>
  </si>
  <si>
    <t>Named Ranges to Create:</t>
  </si>
  <si>
    <t>FIRE_CurrentAge, FIRE_RetirementAge, FIRE_LifeExpectancy</t>
  </si>
  <si>
    <t>FIRE_Number, FIRE_Progress, FIRE_YearsToFIRE</t>
  </si>
  <si>
    <t>FIRE_AnnualExpenses, FIRE_AnnualSavings, FIRE_SavingsRate</t>
  </si>
  <si>
    <t>FIRE_SWR, FIRE_LifeStage</t>
  </si>
  <si>
    <t>Portfolio_ExpectedReturn, Portfolio_StdDev, Portfolio_SharpeRatio</t>
  </si>
  <si>
    <t>Portfolio_InitialValue, Portfolio_CurrentValue</t>
  </si>
  <si>
    <t>Income_TotalGross, Income_TotalNet, Income_TotalSavings</t>
  </si>
  <si>
    <t>MC_SuccessRate, MC_MedianTerminal, MC_SafeSWR</t>
  </si>
  <si>
    <t>Backtest_SuccessRate, Backtest_WorstYear</t>
  </si>
  <si>
    <t>Inflation_Rate, RiskFree_Rate</t>
  </si>
  <si>
    <t>CPF_OA, CPF_SA, CPF_MA, CPF_Total</t>
  </si>
  <si>
    <t>Property_Equity, Property_RentalIncome</t>
  </si>
  <si>
    <t>12. BUILD PROGRESS TRACKER</t>
  </si>
  <si>
    <t>Phase 1: Foundation</t>
  </si>
  <si>
    <t>[ ] Start Here sheet created</t>
  </si>
  <si>
    <t>[ ] Life-stage dropdown working</t>
  </si>
  <si>
    <t>[ ] Navigation links working</t>
  </si>
  <si>
    <t>[ ] FIRE Profile sheet created</t>
  </si>
  <si>
    <t>[ ] FIRE Number formula working</t>
  </si>
  <si>
    <t>[ ] Years-to-FIRE formula working</t>
  </si>
  <si>
    <t>[ ] Coast FIRE formula working</t>
  </si>
  <si>
    <t>[ ] CPF section working</t>
  </si>
  <si>
    <t>[ ] Income Engine sheet created</t>
  </si>
  <si>
    <t>[ ] Simple salary model working</t>
  </si>
  <si>
    <t>[ ] Realistic (age-curve) model working</t>
  </si>
  <si>
    <t>[ ] Data-driven (MOM) model working</t>
  </si>
  <si>
    <t>[ ] 5 income streams working</t>
  </si>
  <si>
    <t>[ ] Life events toggle working</t>
  </si>
  <si>
    <t>[ ] CPF contribution auto-calc working</t>
  </si>
  <si>
    <t>[ ] Summary output table populated</t>
  </si>
  <si>
    <t>[ ] Historical Data sheet created (hidden)</t>
  </si>
  <si>
    <t>[ ] S&amp;P 500 data embedded (1926-2024)</t>
  </si>
  <si>
    <t>[ ] US Bond data embedded (1926-2024)</t>
  </si>
  <si>
    <t>[ ] US CPI data embedded (1926-2024)</t>
  </si>
  <si>
    <t>[ ] STI data embedded (1987-2024)</t>
  </si>
  <si>
    <t>[ ] SG Property Index embedded (1975-2024)</t>
  </si>
  <si>
    <t>[ ] SG CPI embedded (1961-2024)</t>
  </si>
  <si>
    <t>[ ] Gold returns embedded (1971-2024)</t>
  </si>
  <si>
    <t>[ ] REIT returns embedded (1990-2024)</t>
  </si>
  <si>
    <t>[ ] MSCI World ex-US embedded (1970-2024)</t>
  </si>
  <si>
    <t>[ ] Summary stats calculated</t>
  </si>
  <si>
    <t>[ ] Correlation matrix calculated</t>
  </si>
  <si>
    <t>[ ] Phase 1 checkpoint: user review</t>
  </si>
  <si>
    <t>Phase 2: Asset Allocation</t>
  </si>
  <si>
    <t>[ ] Asset Allocation sheet created</t>
  </si>
  <si>
    <t>[ ] 8-class allocation builder working</t>
  </si>
  <si>
    <t>[ ] Pre-built templates dropdown working</t>
  </si>
  <si>
    <t>[ ] Portfolio stats (return, std dev, Sharpe) calculating</t>
  </si>
  <si>
    <t>[ ] Glide path configuration working</t>
  </si>
  <si>
    <t>[ ] Correlation matrix display</t>
  </si>
  <si>
    <t>[ ] Pie chart created</t>
  </si>
  <si>
    <t>[ ] Links to Assumptions sheet updated</t>
  </si>
  <si>
    <t>[ ] Phase 2 checkpoint: user review</t>
  </si>
  <si>
    <t>Phase 3: Monte Carlo</t>
  </si>
  <si>
    <t>[ ] Monte Carlo sheet created</t>
  </si>
  <si>
    <t>[ ] Python simulation code written and tested</t>
  </si>
  <si>
    <t>[ ] Parametric simulation working (10K sims)</t>
  </si>
  <si>
    <t>[ ] Historical bootstrap option working</t>
  </si>
  <si>
    <t>[ ] Percentile bands output to sheet</t>
  </si>
  <si>
    <t>[ ] Success rate calculated</t>
  </si>
  <si>
    <t>[ ] Safe SWR optimization working</t>
  </si>
  <si>
    <t>[ ] Fan chart created</t>
  </si>
  <si>
    <t>[ ] 3-scenario comparison working</t>
  </si>
  <si>
    <t>[ ] Property hybrid simulation working</t>
  </si>
  <si>
    <t>[ ] Phase 3 checkpoint: user review</t>
  </si>
  <si>
    <t>Phase 4: Withdrawal + Sequence Risk</t>
  </si>
  <si>
    <t>[ ] Withdrawal Strategies sheet created</t>
  </si>
  <si>
    <t>[ ] Strategy 1: Constant Dollar working</t>
  </si>
  <si>
    <t>[ ] Strategy 2: VPW working</t>
  </si>
  <si>
    <t>[ ] Strategy 3: Guardrails working</t>
  </si>
  <si>
    <t>[ ] Strategy 4: Vanguard Dynamic working</t>
  </si>
  <si>
    <t>[ ] Strategy 5: CAPE-Based working</t>
  </si>
  <si>
    <t>[ ] Strategy 6: Floor-Ceiling working</t>
  </si>
  <si>
    <t>[ ] Comparison table populated</t>
  </si>
  <si>
    <t>[ ] Summary metrics calculated</t>
  </si>
  <si>
    <t>[ ] Sequence Risk sheet created</t>
  </si>
  <si>
    <t>[ ] Historical crises data embedded</t>
  </si>
  <si>
    <t>[ ] Stress test engine working</t>
  </si>
  <si>
    <t>[ ] Per-strategy impact table working</t>
  </si>
  <si>
    <t>[ ] Sequence comparison chart created</t>
  </si>
  <si>
    <t>[ ] Mitigation strategies section</t>
  </si>
  <si>
    <t>[ ] Phase 4 checkpoint: user review</t>
  </si>
  <si>
    <t>Phase 5: Historical Backtesting</t>
  </si>
  <si>
    <t>[ ] Historical Backtest sheet created</t>
  </si>
  <si>
    <t>[ ] Python backtest code written and tested</t>
  </si>
  <si>
    <t>[ ] Rolling window results output to sheet</t>
  </si>
  <si>
    <t>[ ] Summary statistics calculated</t>
  </si>
  <si>
    <t>[ ] SWR x Duration heat map created</t>
  </si>
  <si>
    <t>[ ] Singapore-specific backtest (STI)</t>
  </si>
  <si>
    <t>[ ] US vs SG comparison</t>
  </si>
  <si>
    <t>[ ] Phase 5 checkpoint: user review</t>
  </si>
  <si>
    <t>Phase 6: Dashboard + Integration</t>
  </si>
  <si>
    <t>[ ] FIRE Dashboard created</t>
  </si>
  <si>
    <t>[ ] Status panel with key metrics</t>
  </si>
  <si>
    <t>[ ] Accumulation chart (fan chart)</t>
  </si>
  <si>
    <t>[ ] Decumulation chart (fan chart)</t>
  </si>
  <si>
    <t>[ ] Withdrawal strategy mini-comparison</t>
  </si>
  <si>
    <t>[ ] Income timeline chart</t>
  </si>
  <si>
    <t>[ ] Scenario comparison section</t>
  </si>
  <si>
    <t>[ ] Risk dashboard section</t>
  </si>
  <si>
    <t>[ ] Action items auto-generated</t>
  </si>
  <si>
    <t>[ ] Reference Guide created</t>
  </si>
  <si>
    <t>[ ] All 10 sections written</t>
  </si>
  <si>
    <t>[ ] Integration: FIRE Profile &lt;-&gt; Assumptions linked</t>
  </si>
  <si>
    <t>[ ] Integration: Income Engine -&gt; Property sheets linked</t>
  </si>
  <si>
    <t>[ ] Integration: Asset Allocation -&gt; Assumptions (replace 5.5% CAGR)</t>
  </si>
  <si>
    <t>[ ] Integration: FIRE metrics added to existing Dashboard</t>
  </si>
  <si>
    <t>[ ] Integration: Property impact on FIRE date calculated</t>
  </si>
  <si>
    <t>[ ] Final review: all cross-sheet links verified</t>
  </si>
  <si>
    <t>[ ] Final review: all formulas error-free</t>
  </si>
  <si>
    <t>[ ] Final review: formatting consistent</t>
  </si>
  <si>
    <t>[ ] Phase 6 checkpoint: user final review</t>
  </si>
  <si>
    <t>13. CONTEXT RESUMPTION PROMPT</t>
  </si>
  <si>
    <t>CONTEXT RESUMPTION - SINGAPORE FIRE PLANNER BUILD</t>
  </si>
  <si>
    <t>I'm building a comprehensive Singapore FIRE + Property + Investment Retirement Planner in Excel.</t>
  </si>
  <si>
    <t>The full master plan is in the Plan sheet of the workbook.</t>
  </si>
  <si>
    <t>PROJECT STATUS</t>
  </si>
  <si>
    <t>Currently on: Phase [X] - [Phase Name]</t>
  </si>
  <si>
    <t>Last completed: [describe last thing built]</t>
  </si>
  <si>
    <t>Next step: [describe next thing to build]</t>
  </si>
  <si>
    <t>CRITICAL CONTEXT</t>
  </si>
  <si>
    <t>- Existing workbook with 13 sheets (property leverage optimizer for Singapore)</t>
  </si>
  <si>
    <t>- Adding 11 new sheets + modifying 2 existing sheets</t>
  </si>
  <si>
    <t>- Existing sheet IDs: Dashboard(1), Sensitivity(12), Scenarios(11), Assumptions(2), Opportunity Cost(7), Bala Table(3), HDB 1984(4), HDB 2005(8), HDB 2015(9), Condo 99LH(5), FH Condo(6), FH Landed(10), Cash Flow Waterfall(13)</t>
  </si>
  <si>
    <t>- New sheets need new IDs (assigned on creation)</t>
  </si>
  <si>
    <t>KEY DESIGN DECISIONS (confirmed)</t>
  </si>
  <si>
    <t>1. Audience: Both HNW + broad Singapore, with guided pathways</t>
  </si>
  <si>
    <t>2. Life stage: Toggle Pre-FIRE / Post-FIRE</t>
  </si>
  <si>
    <t>3. Monte Carlo: Python 10K sims &gt; percentile output to Excel + formula-based option</t>
  </si>
  <si>
    <t>4. Historical data: Full embedded - US (1926+) + Singapore (1987+)</t>
  </si>
  <si>
    <t>5. Withdrawal strategies: 6 comprehensive strategies</t>
  </si>
  <si>
    <t>6. Onboarding: Wizard + reference guide</t>
  </si>
  <si>
    <t>7. Property MC: Hybrid (MC for liquid, stress scenarios for property)</t>
  </si>
  <si>
    <t>8. Asset allocation: 8 classes + CPF (OA 2.5%, SA 4%)</t>
  </si>
  <si>
    <t>9. Income: 3 salary models + 5 streams + life events + MOM data</t>
  </si>
  <si>
    <t>10. Future: Planned webapp migration</t>
  </si>
  <si>
    <t>INSTRUCTIONS FOR AI</t>
  </si>
  <si>
    <t>Read the Plan sheet in this workbook for the full master plan. Confirm you understand the current phase and continue building from where we left off.</t>
  </si>
  <si>
    <t>Start by reading the relevant existing sheets to verify links, then proceed with the next unchecked item.</t>
  </si>
  <si>
    <t>END OF MASTER PLAN</t>
  </si>
  <si>
    <t>📘 USER GUIDE — Singapore Property Leverage Optimizer</t>
  </si>
  <si>
    <t>WHAT THIS WORKBOOK DOES</t>
  </si>
  <si>
    <t>This workbook helps you decide whether to buy property in Singapore — and which type — by comparing 6 property scenarios against a pure investment portfolio ("No Property" benchmark). It models a 20-year horizon and accounts for:</t>
  </si>
  <si>
    <t xml:space="preserve">  •  Mortgage leverage (75% LTV) with SORA-based interest rates</t>
  </si>
  <si>
    <t xml:space="preserve">  •  Leasehold decay using SLA Bala’s Table (critical for HDB &amp; 99-year condos)</t>
  </si>
  <si>
    <t xml:space="preserve">  •  CPF OA usage and accrued interest you must repay on sale</t>
  </si>
  <si>
    <t xml:space="preserve">  •  Transaction costs (BSD, ABSD, legal fees, agent fees)</t>
  </si>
  <si>
    <t xml:space="preserve">  •  Imputed rent savings (owner-occupied) or rental income (investment mode)</t>
  </si>
  <si>
    <t xml:space="preserve">  •  Opportunity cost: what your cash would have grown to in a 60/40 portfolio instead</t>
  </si>
  <si>
    <t xml:space="preserve">  •  Interest rate stress testing (Base / Stress / Severe SORA scenarios)</t>
  </si>
  <si>
    <t>The 6 property types compared:</t>
  </si>
  <si>
    <t xml:space="preserve">  1. HDB 1984 — Older resale HDB (57-year lease remaining), lowest entry cost but highest lease decay risk</t>
  </si>
  <si>
    <t xml:space="preserve">  2. HDB 2005 — Mid-age resale HDB (78-year lease), moderate decay</t>
  </si>
  <si>
    <t xml:space="preserve">  3. HDB 2015 — Newer resale HDB (88-year lease), lower decay risk</t>
  </si>
  <si>
    <t xml:space="preserve">  4. Condo 99LH — 99-year leasehold private condo (93-year lease remaining)</t>
  </si>
  <si>
    <t xml:space="preserve">  5. FH Condo — Freehold private condo (no lease decay)</t>
  </si>
  <si>
    <t xml:space="preserve">  6. FH Landed (Prime) — Freehold landed in prime districts (highest capital, highest potential return)</t>
  </si>
  <si>
    <t>STEP-BY-STEP: HOW TO PERSONALIZE THIS SHEET</t>
  </si>
  <si>
    <t>All inputs are on the Assumptions sheet. Blue text = editable inputs. Black text = formulas (don’t touch). Yellow cells = dropdowns or key calculated values.</t>
  </si>
  <si>
    <t>Change values in the Assumptions sheet and the entire model recalculates automatically across all 14 sheets.</t>
  </si>
  <si>
    <t>STEP 1</t>
  </si>
  <si>
    <t>Enter Your Investor Profile (Assumptions sheet, rows 4–10)</t>
  </si>
  <si>
    <t>Cell</t>
  </si>
  <si>
    <t>What to Enter</t>
  </si>
  <si>
    <t>Guidance</t>
  </si>
  <si>
    <t>Assumptions!C4</t>
  </si>
  <si>
    <t>Your current age (e.g., 32)</t>
  </si>
  <si>
    <t>This determines your exit age. Exit Age = Current Age + Analysis Horizon.</t>
  </si>
  <si>
    <t>Assumptions!C5</t>
  </si>
  <si>
    <t>Analysis horizon in years (e.g., 30)</t>
  </si>
  <si>
    <t>How many years to project. The property sheets show 20-year detail; this sets the overall planning window.</t>
  </si>
  <si>
    <t>Assumptions!C7</t>
  </si>
  <si>
    <t>Your total net worth in SGD (e.g., 800,000)</t>
  </si>
  <si>
    <t>Include all liquid savings + CPF OA. This is the total capital pool the model allocates between property and investments.</t>
  </si>
  <si>
    <t>Assumptions!C8</t>
  </si>
  <si>
    <t>Your CPF OA balance (e.g., 150,000)</t>
  </si>
  <si>
    <t>Amount of CPF OA you will use for the downpayment. Must be ≤ Total Net Worth. CPF accrued interest (2.5%) must be repaid when you sell.</t>
  </si>
  <si>
    <t>Assumptions!C9</t>
  </si>
  <si>
    <t>CPF OA interest rate (default 2.5%)</t>
  </si>
  <si>
    <t>Currently 2.5% p.a. from CPF Board. Only change if policy changes.</t>
  </si>
  <si>
    <t>Assumptions!C10</t>
  </si>
  <si>
    <t>Residency status (DROPDOWN)</t>
  </si>
  <si>
    <t>Choose: "SC 1st Property" (0% ABSD), "SC 2nd Property" (20% ABSD), or "PR" (5% ABSD). This changes ABSD across all properties.</t>
  </si>
  <si>
    <t>→ C6 (Exit Age) is auto-calculated. Do NOT type in it.</t>
  </si>
  <si>
    <t>STEP 2</t>
  </si>
  <si>
    <t>Set Your Interest Rate Scenario (Assumptions sheet, rows 13–19)</t>
  </si>
  <si>
    <t>Assumptions!C13</t>
  </si>
  <si>
    <t>6M Compounded SORA (e.g., 1.221%)</t>
  </si>
  <si>
    <t>Look up the latest rate from MAS. Pre-filled with Feb 2026 rate. This feeds the Base mortgage rate.</t>
  </si>
  <si>
    <t>Assumptions!C14</t>
  </si>
  <si>
    <t>Bank spread (e.g., 0.45%)</t>
  </si>
  <si>
    <t>Your bank's quoted spread above SORA. Typical SG banks: 0.40%–0.55%. Base rate = SORA + Spread (auto-calculated in C15).</t>
  </si>
  <si>
    <t>Assumptions!C16</t>
  </si>
  <si>
    <t>Stress mortgage rate (e.g., 3.5%)</t>
  </si>
  <si>
    <t>A moderately adverse rate scenario. Used when you switch to "Stress" in C18.</t>
  </si>
  <si>
    <t>Assumptions!C17</t>
  </si>
  <si>
    <t>Severe mortgage rate (e.g., 5.0%)</t>
  </si>
  <si>
    <t>Worst-case rate scenario. Useful for stress-testing affordability.</t>
  </si>
  <si>
    <t>Assumptions!C18</t>
  </si>
  <si>
    <t>Active Rate Scenario (DROPDOWN)</t>
  </si>
  <si>
    <t>Choose: "Base" / "Stress" / "Severe". This switches the mortgage rate used in all calculations. The effective rate appears in C19.</t>
  </si>
  <si>
    <t>→ C15 (All-in Base Rate) and C19 (Effective Rate) are formulas. Do NOT type in them.</t>
  </si>
  <si>
    <t>→ Note: HDB loans use a fixed 2.6% (CPF rate). Only private property rates change with this dropdown.</t>
  </si>
  <si>
    <t>STEP 3</t>
  </si>
  <si>
    <t>Adjust Leverage &amp; Financing (Assumptions sheet, rows 22–27)</t>
  </si>
  <si>
    <t>Assumptions!C22</t>
  </si>
  <si>
    <t>LTV Ratio (default 75%)</t>
  </si>
  <si>
    <t>Maximum LTV in SG is 75% for first property. Downpayment % (C23) auto-calculates as 1 – LTV.</t>
  </si>
  <si>
    <t>Assumptions!C24</t>
  </si>
  <si>
    <t>CPF usage for downpayment (default 20%)</t>
  </si>
  <si>
    <t>% of property price paid from CPF OA. Cash downpayment (C25) = Total downpayment – CPF usage.</t>
  </si>
  <si>
    <t>Assumptions!C26</t>
  </si>
  <si>
    <t>Mortgage tenure in years (e.g., 30)</t>
  </si>
  <si>
    <t>Range: 15–35 years. Longer tenure = lower monthly payment but more interest. Max age at loan maturity is 65 (bank) or 75 (HDB).</t>
  </si>
  <si>
    <t>→ C23 (Downpayment %), C25 (Cash DP %), and C27 (Leverage Multiple) are all formulas.</t>
  </si>
  <si>
    <t>STEP 4</t>
  </si>
  <si>
    <t>Customize Property Details (Assumptions sheet, rows 31–43)</t>
  </si>
  <si>
    <t>Assumptions!C31:H31</t>
  </si>
  <si>
    <t>Purchase price for each property type</t>
  </si>
  <si>
    <t>Enter realistic asking prices from PropertyGuru/99.co for properties you're considering. Each column = one property type.</t>
  </si>
  <si>
    <t>Assumptions!C32:H32</t>
  </si>
  <si>
    <t>Price per square foot ($PSF)</t>
  </si>
  <si>
    <t>For your reference only — not used in calculations. Helps you sanity-check the purchase price.</t>
  </si>
  <si>
    <t>Assumptions!C33:H33</t>
  </si>
  <si>
    <t>Remaining lease in years</t>
  </si>
  <si>
    <t>Critical for HDB &amp; 99LH. Enter "Freehold" for FH properties. Drives the Bala Table lease-decay calculation.</t>
  </si>
  <si>
    <t>Assumptions!B34 + Scenario Tables</t>
  </si>
  <si>
    <t>Land appreciation scenario</t>
  </si>
  <si>
    <t>B34 selects the scenario: Pessimistic / Base / Optimistic / Custom. Each property can have its own rate. Edit rates in the Scenario Tables sheet.</t>
  </si>
  <si>
    <t>Assumptions!C35:H35</t>
  </si>
  <si>
    <t>Monthly imputed rent (or market rent)</t>
  </si>
  <si>
    <t>What you'd pay in rent for this property. In owner-occupied mode, this is your "rent savings". In investment mode, this is rental income.</t>
  </si>
  <si>
    <t>Assumptions!C36:H36</t>
  </si>
  <si>
    <t>Annual rent growth rate (default 2%)</t>
  </si>
  <si>
    <t>How fast rents grow each year. Also drives maintenance cost growth.</t>
  </si>
  <si>
    <t>Assumptions!C37:H37</t>
  </si>
  <si>
    <t>Annual maintenance / condo fees (Year 1)</t>
  </si>
  <si>
    <t>HDB: Town Council S&amp;CC (~$90–110/mo). Condo: MCST fees ($500–700/mo). Landed: garden + repairs (~$1,500/mo).</t>
  </si>
  <si>
    <t>Assumptions!C39</t>
  </si>
  <si>
    <t>Usage mode: Owner-Occupied or Investment</t>
  </si>
  <si>
    <t>Owner-Occupied: rent is imputed savings, OO property tax bands. Investment: rental income less vacancy, mgmt fees, and income tax.</t>
  </si>
  <si>
    <t>Assumptions!C40–C42</t>
  </si>
  <si>
    <t>Investment-only: Vacancy, Mgmt fee, Tax rate</t>
  </si>
  <si>
    <t>Only relevant if C39 = Investment. Vacancy 8.33% = 1 month/yr. Mgmt fee 10%. Tax rate = your marginal income tax rate.</t>
  </si>
  <si>
    <t>Assumptions!C43</t>
  </si>
  <si>
    <t>General inflation rate (default 2.5%)</t>
  </si>
  <si>
    <t>Used to convert nominal returns into real (inflation-adjusted) returns. MAS long-term avg ~2%.</t>
  </si>
  <si>
    <t>STEP 5</t>
  </si>
  <si>
    <t>Set Your Benchmark Portfolio (Assumptions sheet, rows 54–55)</t>
  </si>
  <si>
    <t>Assumptions!C54</t>
  </si>
  <si>
    <t>60/40 Portfolio CAGR (default 5.5%)</t>
  </si>
  <si>
    <t>This is the "No Property" alternative return. If you wouldn't buy property, what CAGR would your investments earn? 5.5% is moderate for a 60/40 mix.</t>
  </si>
  <si>
    <t>Assumptions!C55</t>
  </si>
  <si>
    <t>Portfolio standard deviation (default 9%)</t>
  </si>
  <si>
    <t>Used for volatility modeling in the Sensitivity Analysis. ~9% is typical for a 60/40 portfolio.</t>
  </si>
  <si>
    <t>→ This is the single most impactful assumption. A higher CAGR makes "No Property" harder to beat.</t>
  </si>
  <si>
    <t>STEP 6</t>
  </si>
  <si>
    <t>Fine-Tune Scenarios (Scenario Tables sheet)</t>
  </si>
  <si>
    <t>The Scenario Tables sheet is where you define what each scenario name means. It has 4 tables:</t>
  </si>
  <si>
    <t xml:space="preserve">  1. Land Appreciation Rates — Per-property growth rates for Pessimistic / Base / Optimistic / Custom scenarios</t>
  </si>
  <si>
    <t xml:space="preserve">  2. Mortgage Rate Scenarios — Defines Base / Stress / Severe rates</t>
  </si>
  <si>
    <t xml:space="preserve">  3. ABSD Rates — Rates by residency status (auto-linked to Assumptions!C10)</t>
  </si>
  <si>
    <t xml:space="preserve">  4. Mortgage Rates by Property — Shows which rate each property gets (HDB = 2.6% fixed, private = market rate)</t>
  </si>
  <si>
    <t>The ✔ column shows which scenario is currently active. You switch scenarios using the dropdowns on the Assumptions sheet (B34, C18, C10).</t>
  </si>
  <si>
    <t>To create your own scenario: select "Custom" in B34, then edit the Custom row values in the Scenario Tables sheet (row 8, columns C–H).</t>
  </si>
  <si>
    <t>HOW TO READ THE RESULTS</t>
  </si>
  <si>
    <t>Once you've entered your inputs, the model auto-calculates everything. Here’s what each sheet shows you:</t>
  </si>
  <si>
    <t>Sheet</t>
  </si>
  <si>
    <t>What It Shows</t>
  </si>
  <si>
    <t>Key Outputs to Look At</t>
  </si>
  <si>
    <t>📊 Dashboard</t>
  </si>
  <si>
    <t>Executive summary comparing all 6 properties side-by-side at Year 20</t>
  </si>
  <si>
    <t>🏆 Ranking Table (row ~41): properties ranked by total NW. Risk flags: 🔴 = underperforms, 🟡 = high decay, ⚠️ = high capital lockup, 🟢 = beats benchmark</t>
  </si>
  <si>
    <t>📊 Sensitivity Analysis</t>
  </si>
  <si>
    <t>Two-way data tables for a selected property (dropdown at C4)</t>
  </si>
  <si>
    <t>Table 1: Property equity at various appreciation × mortgage rates. Table 2: Total NW. Table 3: Property advantage vs. portfolio at different alt. CAGRs.</t>
  </si>
  <si>
    <t>HDB 1984 / HDB 2005 / HDB 2015</t>
  </si>
  <si>
    <t>Detailed 20-year year-by-year analysis for each HDB type</t>
  </si>
  <si>
    <t>Capital structure, annual mortgage split (interest vs principal), Bala factor decay, property equity, cumulative net benefit, ROE, real (inflation-adj) returns.</t>
  </si>
  <si>
    <t>Condo 99LH / FH Condo / FH Landed</t>
  </si>
  <si>
    <t>Same 20-year analysis for private properties</t>
  </si>
  <si>
    <t>Same structure as HDB sheets. FH properties show Bala factor = 1.0 (no decay). Compare terminal equity and ROE across types.</t>
  </si>
  <si>
    <t>💰 Opportunity Cost</t>
  </si>
  <si>
    <t>Tracks your liquid portfolio (cash not in property) growing at the benchmark CAGR, minus annual mortgage payments</t>
  </si>
  <si>
    <t>Terminal NW comparison table (row ~35): Property equity + Liquid portfolio = Total NW for each option. NW CAGR shows annualized growth. ROE and leverage metrics.</t>
  </si>
  <si>
    <t>📉 Cash Flow Waterfall</t>
  </si>
  <si>
    <t>Year-by-year breakdown of mortgage payment, interest vs principal, rental cash flow, and equity for a selected property</t>
  </si>
  <si>
    <t>Select property via dropdown (C3). Shows annual mortgage split, net rental cash flow, market value, and net equity. Totals row at bottom.</t>
  </si>
  <si>
    <t>📊 Bala Table</t>
  </si>
  <si>
    <t>SLA’s official Bala’s Table showing leasehold value as % of freehold</t>
  </si>
  <si>
    <t>Reference data. Shows that a 60-year lease = ~66% of freehold value, a 40-year lease = ~47%. Lending restrictions noted.</t>
  </si>
  <si>
    <t>🗓️ Scenario Tables</t>
  </si>
  <si>
    <t>Configuration tables that define what each scenario means</t>
  </si>
  <si>
    <t>Edit these to change the rates behind Pessimistic/Base/Optimistic/Custom. The ✔ column shows what’s active.</t>
  </si>
  <si>
    <t>📝 Plan</t>
  </si>
  <si>
    <t>Internal build plan document (for reference/development)</t>
  </si>
  <si>
    <t>You can ignore this sheet — it’s a development roadmap, not part of the analysis.</t>
  </si>
  <si>
    <t>QUICK REFERENCE — ALL EDITABLE INPUTS AT A GLANCE</t>
  </si>
  <si>
    <t>Default Value</t>
  </si>
  <si>
    <t>Analysis Horizon (years)</t>
  </si>
  <si>
    <t>CPF OA Balance ($)</t>
  </si>
  <si>
    <t>Residency Status (DROPDOWN)</t>
  </si>
  <si>
    <t>MARKET RATES &amp; SCENARIO</t>
  </si>
  <si>
    <t>LEVERAGE</t>
  </si>
  <si>
    <t>CPF Usage for Downpayment (%)</t>
  </si>
  <si>
    <t>PROPERTY DETAILS (per property, columns C–H)</t>
  </si>
  <si>
    <t>$780K – $7M (varies by type)</t>
  </si>
  <si>
    <t>57–99 yrs / Freehold</t>
  </si>
  <si>
    <t>$4,500–$15,000</t>
  </si>
  <si>
    <t>Annual Maintenance / Condo Fees</t>
  </si>
  <si>
    <t>$1,080–$18,000</t>
  </si>
  <si>
    <t>BENCHMARK</t>
  </si>
  <si>
    <t>Portfolio Standard Deviation</t>
  </si>
  <si>
    <t>COMMON SCENARIOS TO TRY</t>
  </si>
  <si>
    <t>What to Change</t>
  </si>
  <si>
    <t>What to Watch</t>
  </si>
  <si>
    <t>"What if rates spike?"</t>
  </si>
  <si>
    <t>Set C18 to "Stress" (3.5%) or "Severe" (5.0%)</t>
  </si>
  <si>
    <t>Dashboard: Does FH Landed still beat benchmark? Opportunity Cost: how negative does the liquid portfolio go?</t>
  </si>
  <si>
    <t>"What if property grows slower?"</t>
  </si>
  <si>
    <t>Set B34 to "Pessimistic" (1% growth for all)</t>
  </si>
  <si>
    <t>Dashboard ranking changes. Watch NW vs No Property — which properties still make sense at low growth?</t>
  </si>
  <si>
    <t>"What if I’m buying a 2nd property?"</t>
  </si>
  <si>
    <t>Set C10 to "SC 2nd Property" (20% ABSD)</t>
  </si>
  <si>
    <t>ABSD amounts in row 48 jump dramatically. Total upfront costs skyrocket. Watch if any property still beats benchmark.</t>
  </si>
  <si>
    <t>"What if I’m a PR?"</t>
  </si>
  <si>
    <t>Set C10 to "PR" (5% ABSD)</t>
  </si>
  <si>
    <t>Moderate ABSD impact. Compare total upfront costs vs SC 1st property.</t>
  </si>
  <si>
    <t>"What if I have more/less savings?"</t>
  </si>
  <si>
    <t>Change C7 (Net Worth) and C8 (CPF OA)</t>
  </si>
  <si>
    <t>Opportunity Cost sheet: more savings = bigger liquid portfolio = No Property gets harder to beat. Less savings = some properties become impossible (negative liquid balance).</t>
  </si>
  <si>
    <t>"What if I invest more aggressively?"</t>
  </si>
  <si>
    <t>Increase C54 (Portfolio CAGR) to 7–8%</t>
  </si>
  <si>
    <t>No Property becomes the clear winner at higher returns. Use Sensitivity Table 3 to see the exact crossover point.</t>
  </si>
  <si>
    <t>"Shorter mortgage, less interest?"</t>
  </si>
  <si>
    <t>Change C26 (Tenure) to 15 or 20</t>
  </si>
  <si>
    <t>Higher monthly payments drain liquid portfolio faster, but total interest paid is lower. Watch if liquid portfolio goes deeply negative.</t>
  </si>
  <si>
    <t>"What specific property am I considering?"</t>
  </si>
  <si>
    <t>Edit any column’s C31:C37 with real listing data</t>
  </si>
  <si>
    <t>Replace the default values with actual purchase price, PSF, lease, and rent from a real listing on PropertyGuru or 99.co.</t>
  </si>
  <si>
    <t>"Deep dive on one property"</t>
  </si>
  <si>
    <t>Go to the Cash Flow Waterfall sheet, select property in C3</t>
  </si>
  <si>
    <t>See year-by-year mortgage split, rental cash flow, and equity build. Also check the Sensitivity Analysis sheet (select property in C4).</t>
  </si>
  <si>
    <t>IMPORTANT RULES &amp; TIPS</t>
  </si>
  <si>
    <t>✅ DO:</t>
  </si>
  <si>
    <t xml:space="preserve">  •  Only edit BLUE-colored cells on the Assumptions sheet — these are your inputs.</t>
  </si>
  <si>
    <t xml:space="preserve">  •  Use the DROPDOWN cells (yellow background): C10 (Residency), C18 (Rate Scenario), B34 (Appreciation Scenario), C39 (Usage Mode).</t>
  </si>
  <si>
    <t xml:space="preserve">  •  Edit scenario rates in the Scenario Tables sheet if the defaults don’t match your view.</t>
  </si>
  <si>
    <t xml:space="preserve">  •  Use the Sensitivity Analysis sheet to explore "what-if" ranges for any single property.</t>
  </si>
  <si>
    <t xml:space="preserve">  •  Read the cell comments (hover over cells with red triangles) — they explain data sources and logic.</t>
  </si>
  <si>
    <t>❌ DO NOT:</t>
  </si>
  <si>
    <t xml:space="preserve">  •  Edit BLACK-colored cells — these contain formulas that will break if overwritten.</t>
  </si>
  <si>
    <t xml:space="preserve">  •  Edit any cells on the property sheets (HDB 1984, Condo 99LH, etc.) — they’re all formula-driven from Assumptions.</t>
  </si>
  <si>
    <t xml:space="preserve">  •  Edit the Dashboard or Opportunity Cost sheets — these are output sheets that auto-calculate.</t>
  </si>
  <si>
    <t xml:space="preserve">  •  Delete rows or columns on any sheet — this will break formula references.</t>
  </si>
  <si>
    <t xml:space="preserve">  •  Edit the Bala Table — it’s SLA reference data used by the lease decay calculations.</t>
  </si>
  <si>
    <t>COLOR LEGEND</t>
  </si>
  <si>
    <t>Color</t>
  </si>
  <si>
    <t>Meaning</t>
  </si>
  <si>
    <t>Action</t>
  </si>
  <si>
    <t>Blue text</t>
  </si>
  <si>
    <t>Hardcoded input — your personal data</t>
  </si>
  <si>
    <t>✅ EDIT these to personalize the model</t>
  </si>
  <si>
    <t>Black text (bold)</t>
  </si>
  <si>
    <t>Formula or calculated value</t>
  </si>
  <si>
    <t>❌ DO NOT edit — will break the model</t>
  </si>
  <si>
    <t>Yellow background</t>
  </si>
  <si>
    <t>Dropdown selector or key calculated result</t>
  </si>
  <si>
    <t>✅ Use the dropdown list to select options. The yellow+black cells (like C19) are output — don’t edit.</t>
  </si>
  <si>
    <t>Blue section headers</t>
  </si>
  <si>
    <t>Section dividers</t>
  </si>
  <si>
    <t>For navigation only — ignore</t>
  </si>
  <si>
    <t>Light yellow (C34:H34)</t>
  </si>
  <si>
    <t>Land appreciation rates (formula-linked from Scenario Tables)</t>
  </si>
  <si>
    <t>Don’t edit directly — change B34 or edit Scenario Tables instead</t>
  </si>
  <si>
    <t>RECOMMENDED WORKFLOW</t>
  </si>
  <si>
    <t>1️⃣  Go to the Assumptions sheet and enter your personal details (age, net worth, CPF, residency).</t>
  </si>
  <si>
    <t>2️⃣  Update SORA rate and bank spread to current market rates (check MAS website).</t>
  </si>
  <si>
    <t>3️⃣  Replace default property prices with actual listings you’re considering (rows 31–37, columns C–H).</t>
  </si>
  <si>
    <t>4️⃣  Go to Dashboard to see the side-by-side comparison and ranking table.</t>
  </si>
  <si>
    <t>5️⃣  Check the Risk Assessment matrix at the bottom of Dashboard for flags.</t>
  </si>
  <si>
    <t>6️⃣  Stress test: Switch C18 to "Stress" and "Severe" to see how rate hikes affect each property.</t>
  </si>
  <si>
    <t>7️⃣  Use Sensitivity Analysis to deep-dive on your preferred property.</t>
  </si>
  <si>
    <t>8️⃣  Review Opportunity Cost sheet to understand the trade-off: property equity vs liquid portfolio.</t>
  </si>
  <si>
    <t>9️⃣  Use Cash Flow Waterfall for year-by-year mortgage and cash flow projections.</t>
  </si>
  <si>
    <t>🔟  Make your decision! The model doesn’t tell you what to buy — it shows you the financial trade-offs.</t>
  </si>
  <si>
    <t>GLOSSARY OF KEY METRICS</t>
  </si>
  <si>
    <t>Term</t>
  </si>
  <si>
    <t>What It Means</t>
  </si>
  <si>
    <t>Property equity + remaining liquid portfolio at Year 20. This is the number that matters most — compare it against "No Property" to decide.</t>
  </si>
  <si>
    <t>How much more (or less) you end up with vs. just investing your entire net worth in a 60/40 portfolio. Negative = property was the worse choice.</t>
  </si>
  <si>
    <t>Return on Equity — how much your day-1 equity (cash + CPF deployed) grew over 20 years, expressed as a CAGR. Higher is better.</t>
  </si>
  <si>
    <t>NW CAGR</t>
  </si>
  <si>
    <t>Compound annual growth rate of your total net worth over the analysis period. Compare against the benchmark CAGR (default 5.5%).</t>
  </si>
  <si>
    <t>Bala Factor / Lease Decay</t>
  </si>
  <si>
    <t>SLA Bala’s Table value. A 60-year lease is worth ~66% of freehold. As the lease shortens, the Bala factor drops, destroying value. Freehold = always 1.0.</t>
  </si>
  <si>
    <t>Total cash + CPF you put into the property on Day 1. This is the capital "locked up" that can’t be invested elsewhere.</t>
  </si>
  <si>
    <t>Market value – loan balance – CPF accrued interest owed. This is what you actually pocket if you sold today.</t>
  </si>
  <si>
    <t>Your remaining cash (not in property) growing at the benchmark CAGR, minus annual mortgage payments. Can go negative if mortgage drains all cash.</t>
  </si>
  <si>
    <t>CPF Accrued Interest</t>
  </si>
  <si>
    <t>When you use CPF OA for property, you owe 2.5% compound interest back to CPF when you sell. This reduces your net equity.</t>
  </si>
  <si>
    <t>The year when your property equity exceeds your Day-1 total outlay. Earlier breakeven = lower risk of being "underwater".</t>
  </si>
  <si>
    <t>ABSD</t>
  </si>
  <si>
    <t>Additional Buyer’s Stamp Duty — extra tax on property purchase. 0% for SC 1st property, 20% for SC 2nd property, 5% for PR. A massive cost multiplier.</t>
  </si>
  <si>
    <t>Imputed Rent</t>
  </si>
  <si>
    <t>The rent you would otherwise pay if you didn’t own. Counted as a benefit of ownership since you’re saving this amount.</t>
  </si>
  <si>
    <t>Your Value ✏️</t>
  </si>
  <si>
    <t>← Type here (auto-syncs to model)</t>
  </si>
  <si>
    <t>→ Edit on Assumptions sheet (6 properties)</t>
  </si>
  <si>
    <t>→ Edit on Scenario Tables sheet</t>
  </si>
  <si>
    <t>→ Edit on Assumptions sheet (C40–C42)</t>
  </si>
  <si>
    <t>← Edit via User Guide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</si>
</sst>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164" formatCode="&quot;$&quot;#,##0"/>
    <numFmt numFmtId="165" formatCode="0.0%"/>
    <numFmt numFmtId="166" formatCode="0.0000%"/>
    <numFmt numFmtId="167" formatCode="0.0&quot;x&quot;"/>
    <numFmt numFmtId="168" formatCode="&quot;$&quot;#,##0.00"/>
    <numFmt numFmtId="169" formatCode="&quot;$&quot;#,##0;\(&quot;$&quot;#,##0\);\-"/>
    <numFmt numFmtId="170" formatCode="0.000%"/>
    <numFmt numFmtId="171" formatCode="0\ &quot;years&quot;"/>
    <numFmt numFmtId="172" formatCode="0.000"/>
    <numFmt numFmtId="173" formatCode="&quot;$&quot;#,##0;\(&quot;$&quot;#,##0\);&quot;-&quot;"/>
  </numFmts>
  <fonts count="5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FFFFFF"/>
      <name val="Aptos Narrow"/>
      <scheme val="minor"/>
    </font>
    <font>
      <b/>
      <sz val="12"/>
      <color rgb="FF000000"/>
      <name val="Aptos Narrow"/>
      <scheme val="minor"/>
    </font>
    <font>
      <b/>
      <sz val="12"/>
      <color rgb="FF0000FF"/>
      <name val="Aptos Narrow"/>
      <scheme val="minor"/>
    </font>
    <font>
      <sz val="12"/>
      <color rgb="FF0000FF"/>
      <name val="Aptos Narrow"/>
      <scheme val="minor"/>
    </font>
    <font>
      <sz val="12"/>
      <color rgb="FF000000"/>
      <name val="Aptos Narrow"/>
      <scheme val="minor"/>
    </font>
    <font>
      <b/>
      <sz val="14"/>
      <color rgb="FF1F4E79"/>
      <name val="Aptos Narrow"/>
      <scheme val="minor"/>
    </font>
    <font>
      <sz val="12"/>
      <color rgb="FFFFFFFF"/>
      <name val="Aptos Narrow"/>
      <scheme val="minor"/>
    </font>
    <font>
      <b/>
      <sz val="12"/>
      <color rgb="FFFFFFFF"/>
      <name val="Aptos Narrow"/>
      <scheme val="minor"/>
    </font>
    <font>
      <b/>
      <sz val="14"/>
      <color rgb="FF000000"/>
      <name val="Aptos Narrow"/>
      <scheme val="minor"/>
    </font>
    <font>
      <b/>
      <sz val="12"/>
      <color rgb="FFFF0000"/>
      <name val="Aptos Narrow"/>
      <scheme val="minor"/>
    </font>
    <font>
      <b/>
      <sz val="14"/>
      <color rgb="FFFFFFFF"/>
      <name val="Aptos Narrow"/>
      <scheme val="minor"/>
    </font>
    <font>
      <sz val="12"/>
      <color rgb="FF008000"/>
      <name val="Aptos Narrow"/>
      <scheme val="minor"/>
    </font>
    <font>
      <b/>
      <sz val="12"/>
      <color rgb="FF008000"/>
      <name val="Aptos Narrow"/>
      <scheme val="minor"/>
    </font>
    <font>
      <i/>
      <sz val="12"/>
      <color rgb="FF808080"/>
      <name val="Aptos Narrow"/>
      <scheme val="minor"/>
    </font>
    <font>
      <b/>
      <i/>
      <sz val="12"/>
      <color rgb="FF000000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6"/>
      <color rgb="FFFFFFFF"/>
      <name val="Aptos Narrow"/>
      <scheme val="minor"/>
    </font>
    <font>
      <b/>
      <sz val="14"/>
      <color rgb="FF0000FF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0"/>
      <color rgb="FF808080"/>
      <name val="Aptos Narrow"/>
      <family val="2"/>
      <scheme val="minor"/>
    </font>
    <font>
      <sz val="10"/>
      <color rgb="FF808080"/>
      <name val="Aptos Narrow"/>
      <scheme val="minor"/>
    </font>
    <font>
      <b/>
      <sz val="10"/>
      <color rgb="FF808080"/>
      <name val="Aptos Narrow"/>
      <scheme val="minor"/>
    </font>
    <font>
      <b/>
      <sz val="12"/>
      <color rgb="FF4472C4"/>
      <name val="Aptos Narrow"/>
      <scheme val="minor"/>
    </font>
    <font>
      <b/>
      <sz val="11"/>
      <color rgb="FF000000"/>
      <name val="Aptos Narrow"/>
      <scheme val="minor"/>
    </font>
    <font>
      <b/>
      <sz val="16"/>
      <color rgb="FF1A1A2E"/>
      <name val="Aptos Narrow"/>
      <family val="2"/>
      <scheme val="minor"/>
    </font>
    <font>
      <b/>
      <sz val="13"/>
      <color rgb="FF2C3E50"/>
      <name val="Aptos Narrow"/>
      <family val="2"/>
      <scheme val="minor"/>
    </font>
    <font>
      <b/>
      <sz val="14"/>
      <color rgb="FF1A1A2E"/>
      <name val="Aptos Narrow"/>
      <family val="2"/>
      <scheme val="minor"/>
    </font>
    <font>
      <b/>
      <sz val="11"/>
      <color rgb="FF34495E"/>
      <name val="Aptos Narrow"/>
      <family val="2"/>
      <scheme val="minor"/>
    </font>
    <font>
      <sz val="8"/>
      <color rgb="FFCCCCCC"/>
      <name val="Aptos Narrow"/>
      <family val="2"/>
      <scheme val="minor"/>
    </font>
    <font>
      <b/>
      <sz val="16"/>
      <color rgb="FF1F4E79"/>
      <name val="Aptos Narrow"/>
      <scheme val="minor"/>
    </font>
    <font>
      <b/>
      <sz val="13"/>
      <color rgb="FFFFFFFF"/>
      <name val="Aptos Narrow"/>
      <scheme val="minor"/>
    </font>
    <font>
      <b/>
      <sz val="11"/>
      <color rgb="FFC00000"/>
      <name val="Aptos Narrow"/>
      <scheme val="minor"/>
    </font>
    <font>
      <b/>
      <sz val="11"/>
      <color rgb="FF0000FF"/>
      <name val="Aptos Narrow"/>
      <scheme val="minor"/>
    </font>
    <font>
      <i/>
      <sz val="10"/>
      <color rgb="FF808080"/>
      <name val="Aptos Narrow"/>
      <scheme val="minor"/>
    </font>
    <font>
      <b/>
      <sz val="11"/>
      <color rgb="FF2E75B6"/>
      <name val="Aptos Narrow"/>
      <scheme val="minor"/>
    </font>
    <font>
      <b/>
      <sz val="12"/>
      <color rgb="FFC00000"/>
      <name val="Aptos Narrow"/>
      <scheme val="minor"/>
    </font>
    <font>
      <b/>
      <sz val="11"/>
      <color rgb="FF008000"/>
      <name val="Aptos Narrow"/>
      <scheme val="minor"/>
    </font>
    <font>
      <b/>
      <sz val="10"/>
      <color rgb="FF008000"/>
      <name val="Aptos Narrow"/>
      <scheme val="minor"/>
    </font>
    <font>
      <b/>
      <i/>
      <sz val="12"/>
      <color rgb="FF0000FF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medium">
        <color auto="1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thin">
        <color rgb="FFB4C6E7"/>
      </left>
      <right style="medium">
        <color auto="1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medium">
        <color auto="1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medium">
        <color auto="1"/>
      </right>
      <top style="thin">
        <color rgb="FFB4C6E7"/>
      </top>
      <bottom/>
      <diagonal/>
    </border>
    <border>
      <left style="medium">
        <color auto="1"/>
      </left>
      <right style="thin">
        <color rgb="FFB4C6E7"/>
      </right>
      <top style="thick">
        <color rgb="FFB4C6E7"/>
      </top>
      <bottom style="medium">
        <color auto="1"/>
      </bottom>
      <diagonal/>
    </border>
    <border>
      <left style="thin">
        <color rgb="FFB4C6E7"/>
      </left>
      <right style="thin">
        <color rgb="FFB4C6E7"/>
      </right>
      <top style="thick">
        <color rgb="FFB4C6E7"/>
      </top>
      <bottom style="medium">
        <color auto="1"/>
      </bottom>
      <diagonal/>
    </border>
    <border>
      <left style="thin">
        <color rgb="FFB4C6E7"/>
      </left>
      <right style="medium">
        <color auto="1"/>
      </right>
      <top style="thick">
        <color rgb="FFB4C6E7"/>
      </top>
      <bottom style="medium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auto="1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auto="1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/>
      <diagonal/>
    </border>
  </borders>
  <cellStyleXfs count="1">
    <xf numFmtId="0" fontId="0" fillId="0" borderId="0"/>
  </cellStyleXfs>
  <cellXfs count="269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0" borderId="0" xfId="0" applyFont="1"/>
    <xf numFmtId="1" fontId="5" fillId="0" borderId="0" xfId="0" applyNumberFormat="1" applyFont="1"/>
    <xf numFmtId="1" fontId="0" fillId="0" borderId="0" xfId="0" applyNumberForma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6" fontId="1" fillId="0" borderId="0" xfId="0" applyNumberFormat="1" applyFont="1"/>
    <xf numFmtId="0" fontId="5" fillId="4" borderId="0" xfId="0" applyFont="1" applyFill="1"/>
    <xf numFmtId="0" fontId="1" fillId="0" borderId="0" xfId="0" applyFont="1"/>
    <xf numFmtId="0" fontId="1" fillId="5" borderId="0" xfId="0" applyFont="1" applyFill="1"/>
    <xf numFmtId="166" fontId="1" fillId="5" borderId="0" xfId="0" applyNumberFormat="1" applyFont="1" applyFill="1"/>
    <xf numFmtId="9" fontId="5" fillId="0" borderId="0" xfId="0" applyNumberFormat="1" applyFont="1"/>
    <xf numFmtId="9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0" fontId="6" fillId="3" borderId="0" xfId="0" applyFont="1" applyFill="1"/>
    <xf numFmtId="165" fontId="0" fillId="0" borderId="0" xfId="0" applyNumberFormat="1"/>
    <xf numFmtId="164" fontId="1" fillId="5" borderId="0" xfId="0" applyNumberFormat="1" applyFont="1" applyFill="1"/>
    <xf numFmtId="0" fontId="6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6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/>
    <xf numFmtId="10" fontId="1" fillId="5" borderId="0" xfId="0" applyNumberFormat="1" applyFont="1" applyFill="1"/>
    <xf numFmtId="1" fontId="1" fillId="5" borderId="0" xfId="0" applyNumberFormat="1" applyFont="1" applyFill="1"/>
    <xf numFmtId="0" fontId="7" fillId="3" borderId="0" xfId="0" applyFont="1" applyFill="1"/>
    <xf numFmtId="168" fontId="0" fillId="0" borderId="0" xfId="0" applyNumberFormat="1"/>
    <xf numFmtId="0" fontId="9" fillId="5" borderId="0" xfId="0" applyFont="1" applyFill="1"/>
    <xf numFmtId="164" fontId="9" fillId="5" borderId="0" xfId="0" applyNumberFormat="1" applyFont="1" applyFill="1"/>
    <xf numFmtId="169" fontId="1" fillId="0" borderId="0" xfId="0" applyNumberFormat="1" applyFont="1"/>
    <xf numFmtId="10" fontId="1" fillId="0" borderId="0" xfId="0" applyNumberFormat="1" applyFont="1"/>
    <xf numFmtId="0" fontId="10" fillId="3" borderId="0" xfId="0" applyFont="1" applyFill="1"/>
    <xf numFmtId="170" fontId="1" fillId="5" borderId="0" xfId="0" applyNumberFormat="1" applyFont="1" applyFill="1"/>
    <xf numFmtId="171" fontId="1" fillId="5" borderId="0" xfId="0" applyNumberFormat="1" applyFont="1" applyFill="1"/>
    <xf numFmtId="171" fontId="1" fillId="0" borderId="0" xfId="0" applyNumberFormat="1" applyFont="1"/>
    <xf numFmtId="165" fontId="1" fillId="5" borderId="0" xfId="0" applyNumberFormat="1" applyFont="1" applyFill="1"/>
    <xf numFmtId="0" fontId="1" fillId="6" borderId="0" xfId="0" applyFont="1" applyFill="1" applyAlignment="1">
      <alignment horizontal="center"/>
    </xf>
    <xf numFmtId="0" fontId="11" fillId="7" borderId="0" xfId="0" applyFont="1" applyFill="1"/>
    <xf numFmtId="0" fontId="0" fillId="7" borderId="0" xfId="0" applyFill="1"/>
    <xf numFmtId="10" fontId="0" fillId="0" borderId="0" xfId="0" applyNumberFormat="1"/>
    <xf numFmtId="17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64" fontId="12" fillId="0" borderId="0" xfId="0" applyNumberFormat="1" applyFont="1"/>
    <xf numFmtId="6" fontId="0" fillId="0" borderId="0" xfId="0" applyNumberFormat="1"/>
    <xf numFmtId="6" fontId="1" fillId="0" borderId="0" xfId="0" applyNumberFormat="1" applyFont="1" applyAlignment="1">
      <alignment horizontal="center"/>
    </xf>
    <xf numFmtId="49" fontId="16" fillId="0" borderId="0" xfId="0" applyNumberFormat="1" applyFont="1"/>
    <xf numFmtId="165" fontId="15" fillId="5" borderId="0" xfId="0" applyNumberFormat="1" applyFont="1" applyFill="1"/>
    <xf numFmtId="0" fontId="17" fillId="3" borderId="0" xfId="0" applyFont="1" applyFill="1"/>
    <xf numFmtId="0" fontId="18" fillId="8" borderId="0" xfId="0" applyFont="1" applyFill="1" applyAlignment="1">
      <alignment horizontal="center"/>
    </xf>
    <xf numFmtId="164" fontId="19" fillId="8" borderId="0" xfId="0" applyNumberFormat="1" applyFont="1" applyFill="1"/>
    <xf numFmtId="164" fontId="20" fillId="8" borderId="0" xfId="0" applyNumberFormat="1" applyFont="1" applyFill="1"/>
    <xf numFmtId="0" fontId="21" fillId="0" borderId="0" xfId="0" applyFont="1"/>
    <xf numFmtId="165" fontId="19" fillId="8" borderId="0" xfId="0" applyNumberFormat="1" applyFont="1" applyFill="1"/>
    <xf numFmtId="49" fontId="21" fillId="8" borderId="0" xfId="0" applyNumberFormat="1" applyFont="1" applyFill="1"/>
    <xf numFmtId="0" fontId="21" fillId="8" borderId="0" xfId="0" applyFont="1" applyFill="1"/>
    <xf numFmtId="0" fontId="21" fillId="3" borderId="0" xfId="0" applyFont="1" applyFill="1"/>
    <xf numFmtId="164" fontId="21" fillId="8" borderId="0" xfId="0" applyNumberFormat="1" applyFont="1" applyFill="1"/>
    <xf numFmtId="168" fontId="21" fillId="8" borderId="0" xfId="0" applyNumberFormat="1" applyFont="1" applyFill="1"/>
    <xf numFmtId="9" fontId="19" fillId="8" borderId="0" xfId="0" applyNumberFormat="1" applyFont="1" applyFill="1"/>
    <xf numFmtId="0" fontId="22" fillId="2" borderId="0" xfId="0" applyFont="1" applyFill="1"/>
    <xf numFmtId="164" fontId="18" fillId="5" borderId="0" xfId="0" applyNumberFormat="1" applyFont="1" applyFill="1"/>
    <xf numFmtId="0" fontId="24" fillId="3" borderId="0" xfId="0" applyFont="1" applyFill="1" applyAlignment="1">
      <alignment horizontal="center" wrapText="1"/>
    </xf>
    <xf numFmtId="164" fontId="25" fillId="5" borderId="0" xfId="0" applyNumberFormat="1" applyFont="1" applyFill="1"/>
    <xf numFmtId="164" fontId="18" fillId="8" borderId="0" xfId="0" applyNumberFormat="1" applyFont="1" applyFill="1"/>
    <xf numFmtId="0" fontId="18" fillId="6" borderId="0" xfId="0" applyFont="1" applyFill="1" applyAlignment="1">
      <alignment horizontal="center"/>
    </xf>
    <xf numFmtId="1" fontId="21" fillId="8" borderId="0" xfId="0" applyNumberFormat="1" applyFont="1" applyFill="1" applyAlignment="1">
      <alignment horizontal="center"/>
    </xf>
    <xf numFmtId="171" fontId="21" fillId="8" borderId="0" xfId="0" applyNumberFormat="1" applyFont="1" applyFill="1" applyAlignment="1">
      <alignment horizontal="center"/>
    </xf>
    <xf numFmtId="165" fontId="21" fillId="8" borderId="0" xfId="0" applyNumberFormat="1" applyFont="1" applyFill="1" applyAlignment="1">
      <alignment horizontal="center"/>
    </xf>
    <xf numFmtId="165" fontId="18" fillId="8" borderId="0" xfId="0" applyNumberFormat="1" applyFont="1" applyFill="1" applyAlignment="1">
      <alignment horizontal="center"/>
    </xf>
    <xf numFmtId="164" fontId="26" fillId="8" borderId="0" xfId="0" applyNumberFormat="1" applyFont="1" applyFill="1"/>
    <xf numFmtId="172" fontId="21" fillId="8" borderId="0" xfId="0" applyNumberFormat="1" applyFont="1" applyFill="1" applyAlignment="1">
      <alignment horizontal="center"/>
    </xf>
    <xf numFmtId="165" fontId="21" fillId="8" borderId="0" xfId="0" applyNumberFormat="1" applyFont="1" applyFill="1"/>
    <xf numFmtId="169" fontId="18" fillId="8" borderId="0" xfId="0" applyNumberFormat="1" applyFont="1" applyFill="1"/>
    <xf numFmtId="10" fontId="18" fillId="8" borderId="0" xfId="0" applyNumberFormat="1" applyFont="1" applyFill="1"/>
    <xf numFmtId="1" fontId="19" fillId="8" borderId="0" xfId="0" applyNumberFormat="1" applyFont="1" applyFill="1"/>
    <xf numFmtId="165" fontId="18" fillId="5" borderId="0" xfId="0" applyNumberFormat="1" applyFont="1" applyFill="1"/>
    <xf numFmtId="0" fontId="15" fillId="8" borderId="0" xfId="0" applyFont="1" applyFill="1" applyAlignment="1">
      <alignment horizontal="center"/>
    </xf>
    <xf numFmtId="164" fontId="5" fillId="8" borderId="0" xfId="0" applyNumberFormat="1" applyFont="1" applyFill="1"/>
    <xf numFmtId="164" fontId="4" fillId="8" borderId="0" xfId="0" applyNumberFormat="1" applyFont="1" applyFill="1"/>
    <xf numFmtId="1" fontId="5" fillId="8" borderId="0" xfId="0" applyNumberFormat="1" applyFont="1" applyFill="1"/>
    <xf numFmtId="165" fontId="5" fillId="8" borderId="0" xfId="0" applyNumberFormat="1" applyFont="1" applyFill="1"/>
    <xf numFmtId="49" fontId="16" fillId="8" borderId="0" xfId="0" applyNumberFormat="1" applyFont="1" applyFill="1"/>
    <xf numFmtId="9" fontId="21" fillId="8" borderId="0" xfId="0" applyNumberFormat="1" applyFont="1" applyFill="1"/>
    <xf numFmtId="0" fontId="27" fillId="3" borderId="0" xfId="0" applyFont="1" applyFill="1"/>
    <xf numFmtId="0" fontId="18" fillId="8" borderId="0" xfId="0" applyFont="1" applyFill="1"/>
    <xf numFmtId="0" fontId="21" fillId="7" borderId="0" xfId="0" applyFont="1" applyFill="1"/>
    <xf numFmtId="0" fontId="21" fillId="8" borderId="0" xfId="0" applyFont="1" applyFill="1" applyAlignment="1">
      <alignment horizontal="center"/>
    </xf>
    <xf numFmtId="10" fontId="21" fillId="8" borderId="0" xfId="0" applyNumberFormat="1" applyFont="1" applyFill="1"/>
    <xf numFmtId="1" fontId="21" fillId="8" borderId="0" xfId="0" applyNumberFormat="1" applyFont="1" applyFill="1"/>
    <xf numFmtId="164" fontId="18" fillId="8" borderId="0" xfId="0" applyNumberFormat="1" applyFont="1" applyFill="1" applyAlignment="1">
      <alignment horizontal="center"/>
    </xf>
    <xf numFmtId="0" fontId="23" fillId="3" borderId="0" xfId="0" applyFont="1" applyFill="1"/>
    <xf numFmtId="0" fontId="0" fillId="8" borderId="0" xfId="0" applyFill="1"/>
    <xf numFmtId="0" fontId="24" fillId="3" borderId="0" xfId="0" applyFont="1" applyFill="1"/>
    <xf numFmtId="0" fontId="19" fillId="4" borderId="0" xfId="0" applyFont="1" applyFill="1"/>
    <xf numFmtId="0" fontId="30" fillId="8" borderId="0" xfId="0" applyFont="1" applyFill="1"/>
    <xf numFmtId="0" fontId="28" fillId="8" borderId="1" xfId="0" applyFont="1" applyFill="1" applyBorder="1" applyAlignment="1">
      <alignment horizontal="center"/>
    </xf>
    <xf numFmtId="165" fontId="19" fillId="8" borderId="1" xfId="0" applyNumberFormat="1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165" fontId="29" fillId="5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/>
    <xf numFmtId="0" fontId="18" fillId="8" borderId="1" xfId="0" applyFont="1" applyFill="1" applyBorder="1"/>
    <xf numFmtId="0" fontId="18" fillId="5" borderId="1" xfId="0" applyFont="1" applyFill="1" applyBorder="1"/>
    <xf numFmtId="170" fontId="29" fillId="8" borderId="1" xfId="0" applyNumberFormat="1" applyFont="1" applyFill="1" applyBorder="1" applyAlignment="1">
      <alignment horizontal="center"/>
    </xf>
    <xf numFmtId="0" fontId="30" fillId="8" borderId="1" xfId="0" applyFont="1" applyFill="1" applyBorder="1"/>
    <xf numFmtId="9" fontId="19" fillId="8" borderId="1" xfId="0" applyNumberFormat="1" applyFont="1" applyFill="1" applyBorder="1" applyAlignment="1">
      <alignment horizontal="center"/>
    </xf>
    <xf numFmtId="0" fontId="31" fillId="2" borderId="1" xfId="0" applyFont="1" applyFill="1" applyBorder="1"/>
    <xf numFmtId="0" fontId="32" fillId="0" borderId="0" xfId="0" applyFont="1"/>
    <xf numFmtId="170" fontId="19" fillId="8" borderId="1" xfId="0" applyNumberFormat="1" applyFont="1" applyFill="1" applyBorder="1" applyAlignment="1">
      <alignment horizontal="center"/>
    </xf>
    <xf numFmtId="0" fontId="0" fillId="5" borderId="1" xfId="0" applyFill="1" applyBorder="1"/>
    <xf numFmtId="170" fontId="18" fillId="5" borderId="1" xfId="0" applyNumberFormat="1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/>
    <xf numFmtId="164" fontId="33" fillId="5" borderId="0" xfId="0" applyNumberFormat="1" applyFont="1" applyFill="1"/>
    <xf numFmtId="165" fontId="33" fillId="5" borderId="0" xfId="0" applyNumberFormat="1" applyFont="1" applyFill="1"/>
    <xf numFmtId="165" fontId="29" fillId="0" borderId="0" xfId="0" applyNumberFormat="1" applyFont="1"/>
    <xf numFmtId="165" fontId="29" fillId="8" borderId="0" xfId="0" applyNumberFormat="1" applyFont="1" applyFill="1"/>
    <xf numFmtId="0" fontId="33" fillId="6" borderId="0" xfId="0" applyFont="1" applyFill="1" applyAlignment="1">
      <alignment horizontal="center"/>
    </xf>
    <xf numFmtId="165" fontId="32" fillId="0" borderId="0" xfId="0" applyNumberFormat="1" applyFont="1" applyAlignment="1">
      <alignment horizontal="center"/>
    </xf>
    <xf numFmtId="167" fontId="32" fillId="0" borderId="0" xfId="0" applyNumberFormat="1" applyFont="1" applyAlignment="1">
      <alignment horizontal="center"/>
    </xf>
    <xf numFmtId="164" fontId="32" fillId="0" borderId="0" xfId="0" applyNumberFormat="1" applyFont="1"/>
    <xf numFmtId="0" fontId="24" fillId="9" borderId="0" xfId="0" applyFont="1" applyFill="1"/>
    <xf numFmtId="0" fontId="0" fillId="9" borderId="0" xfId="0" applyFill="1"/>
    <xf numFmtId="0" fontId="8" fillId="0" borderId="0" xfId="0" applyFont="1" applyAlignment="1">
      <alignment horizontal="center"/>
    </xf>
    <xf numFmtId="0" fontId="34" fillId="3" borderId="0" xfId="0" applyFont="1" applyFill="1"/>
    <xf numFmtId="0" fontId="35" fillId="4" borderId="0" xfId="0" applyFont="1" applyFill="1"/>
    <xf numFmtId="165" fontId="32" fillId="0" borderId="0" xfId="0" applyNumberFormat="1" applyFont="1"/>
    <xf numFmtId="0" fontId="37" fillId="6" borderId="0" xfId="0" applyFont="1" applyFill="1"/>
    <xf numFmtId="0" fontId="37" fillId="6" borderId="0" xfId="0" applyFont="1" applyFill="1" applyAlignment="1">
      <alignment horizontal="center"/>
    </xf>
    <xf numFmtId="0" fontId="0" fillId="6" borderId="0" xfId="0" applyFill="1"/>
    <xf numFmtId="0" fontId="38" fillId="0" borderId="0" xfId="0" applyFont="1"/>
    <xf numFmtId="0" fontId="39" fillId="0" borderId="0" xfId="0" applyFont="1"/>
    <xf numFmtId="0" fontId="40" fillId="0" borderId="0" xfId="0" applyFont="1"/>
    <xf numFmtId="3" fontId="38" fillId="0" borderId="0" xfId="0" applyNumberFormat="1" applyFont="1"/>
    <xf numFmtId="172" fontId="38" fillId="0" borderId="0" xfId="0" applyNumberFormat="1" applyFont="1"/>
    <xf numFmtId="0" fontId="41" fillId="0" borderId="0" xfId="0" applyFont="1"/>
    <xf numFmtId="164" fontId="39" fillId="0" borderId="0" xfId="0" applyNumberFormat="1" applyFont="1"/>
    <xf numFmtId="164" fontId="36" fillId="0" borderId="2" xfId="0" applyNumberFormat="1" applyFont="1" applyBorder="1"/>
    <xf numFmtId="164" fontId="36" fillId="5" borderId="2" xfId="0" applyNumberFormat="1" applyFont="1" applyFill="1" applyBorder="1"/>
    <xf numFmtId="165" fontId="37" fillId="6" borderId="4" xfId="0" applyNumberFormat="1" applyFont="1" applyFill="1" applyBorder="1" applyAlignment="1">
      <alignment horizontal="center"/>
    </xf>
    <xf numFmtId="164" fontId="36" fillId="0" borderId="5" xfId="0" applyNumberFormat="1" applyFont="1" applyBorder="1"/>
    <xf numFmtId="0" fontId="37" fillId="6" borderId="6" xfId="0" applyFont="1" applyFill="1" applyBorder="1" applyAlignment="1">
      <alignment horizontal="center"/>
    </xf>
    <xf numFmtId="165" fontId="37" fillId="6" borderId="7" xfId="0" applyNumberFormat="1" applyFont="1" applyFill="1" applyBorder="1" applyAlignment="1">
      <alignment horizontal="center"/>
    </xf>
    <xf numFmtId="165" fontId="37" fillId="6" borderId="8" xfId="0" applyNumberFormat="1" applyFont="1" applyFill="1" applyBorder="1" applyAlignment="1">
      <alignment horizontal="center"/>
    </xf>
    <xf numFmtId="165" fontId="37" fillId="6" borderId="9" xfId="0" applyNumberFormat="1" applyFont="1" applyFill="1" applyBorder="1" applyAlignment="1">
      <alignment horizontal="center"/>
    </xf>
    <xf numFmtId="164" fontId="36" fillId="0" borderId="10" xfId="0" applyNumberFormat="1" applyFont="1" applyBorder="1"/>
    <xf numFmtId="164" fontId="36" fillId="0" borderId="11" xfId="0" applyNumberFormat="1" applyFont="1" applyBorder="1"/>
    <xf numFmtId="169" fontId="36" fillId="0" borderId="2" xfId="0" applyNumberFormat="1" applyFont="1" applyBorder="1"/>
    <xf numFmtId="169" fontId="36" fillId="5" borderId="2" xfId="0" applyNumberFormat="1" applyFont="1" applyFill="1" applyBorder="1"/>
    <xf numFmtId="169" fontId="36" fillId="0" borderId="5" xfId="0" applyNumberFormat="1" applyFont="1" applyBorder="1"/>
    <xf numFmtId="169" fontId="36" fillId="0" borderId="10" xfId="0" applyNumberFormat="1" applyFont="1" applyBorder="1"/>
    <xf numFmtId="169" fontId="36" fillId="0" borderId="11" xfId="0" applyNumberFormat="1" applyFont="1" applyBorder="1"/>
    <xf numFmtId="170" fontId="32" fillId="0" borderId="0" xfId="0" applyNumberFormat="1" applyFont="1"/>
    <xf numFmtId="164" fontId="36" fillId="10" borderId="2" xfId="0" applyNumberFormat="1" applyFont="1" applyFill="1" applyBorder="1"/>
    <xf numFmtId="0" fontId="17" fillId="3" borderId="4" xfId="0" applyFont="1" applyFill="1" applyBorder="1" applyAlignment="1">
      <alignment horizontal="center" wrapText="1"/>
    </xf>
    <xf numFmtId="0" fontId="17" fillId="3" borderId="6" xfId="0" applyFont="1" applyFill="1" applyBorder="1" applyAlignment="1">
      <alignment horizontal="center"/>
    </xf>
    <xf numFmtId="0" fontId="36" fillId="0" borderId="7" xfId="0" applyFont="1" applyBorder="1" applyAlignment="1">
      <alignment horizontal="center"/>
    </xf>
    <xf numFmtId="0" fontId="36" fillId="10" borderId="7" xfId="0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 wrapText="1"/>
    </xf>
    <xf numFmtId="164" fontId="36" fillId="10" borderId="10" xfId="0" applyNumberFormat="1" applyFont="1" applyFill="1" applyBorder="1"/>
    <xf numFmtId="0" fontId="36" fillId="10" borderId="12" xfId="0" applyFont="1" applyFill="1" applyBorder="1" applyAlignment="1">
      <alignment horizontal="center"/>
    </xf>
    <xf numFmtId="164" fontId="36" fillId="10" borderId="3" xfId="0" applyNumberFormat="1" applyFont="1" applyFill="1" applyBorder="1"/>
    <xf numFmtId="164" fontId="36" fillId="10" borderId="13" xfId="0" applyNumberFormat="1" applyFont="1" applyFill="1" applyBorder="1"/>
    <xf numFmtId="0" fontId="37" fillId="6" borderId="14" xfId="0" applyFont="1" applyFill="1" applyBorder="1" applyAlignment="1">
      <alignment horizontal="center"/>
    </xf>
    <xf numFmtId="164" fontId="37" fillId="6" borderId="15" xfId="0" applyNumberFormat="1" applyFont="1" applyFill="1" applyBorder="1"/>
    <xf numFmtId="0" fontId="37" fillId="6" borderId="15" xfId="0" applyFont="1" applyFill="1" applyBorder="1"/>
    <xf numFmtId="0" fontId="37" fillId="6" borderId="16" xfId="0" applyFont="1" applyFill="1" applyBorder="1"/>
    <xf numFmtId="0" fontId="40" fillId="3" borderId="0" xfId="0" applyFont="1" applyFill="1" applyAlignment="1">
      <alignment horizontal="center" wrapText="1"/>
    </xf>
    <xf numFmtId="0" fontId="42" fillId="7" borderId="0" xfId="0" applyFont="1" applyFill="1"/>
    <xf numFmtId="164" fontId="42" fillId="7" borderId="0" xfId="0" applyNumberFormat="1" applyFont="1" applyFill="1"/>
    <xf numFmtId="0" fontId="40" fillId="8" borderId="0" xfId="0" applyFont="1" applyFill="1"/>
    <xf numFmtId="0" fontId="39" fillId="8" borderId="0" xfId="0" applyFont="1" applyFill="1"/>
    <xf numFmtId="0" fontId="37" fillId="6" borderId="0" xfId="0" applyFont="1" applyFill="1" applyAlignment="1">
      <alignment horizontal="center" vertical="center" wrapText="1"/>
    </xf>
    <xf numFmtId="0" fontId="36" fillId="8" borderId="0" xfId="0" applyFont="1" applyFill="1" applyAlignment="1">
      <alignment horizontal="center"/>
    </xf>
    <xf numFmtId="0" fontId="36" fillId="11" borderId="0" xfId="0" applyFont="1" applyFill="1" applyAlignment="1">
      <alignment horizontal="center"/>
    </xf>
    <xf numFmtId="0" fontId="18" fillId="6" borderId="17" xfId="0" applyFont="1" applyFill="1" applyBorder="1" applyAlignment="1">
      <alignment horizontal="center"/>
    </xf>
    <xf numFmtId="1" fontId="33" fillId="5" borderId="18" xfId="0" applyNumberFormat="1" applyFont="1" applyFill="1" applyBorder="1" applyAlignment="1">
      <alignment horizontal="center"/>
    </xf>
    <xf numFmtId="0" fontId="33" fillId="5" borderId="18" xfId="0" applyFont="1" applyFill="1" applyBorder="1" applyAlignment="1">
      <alignment horizontal="left"/>
    </xf>
    <xf numFmtId="164" fontId="33" fillId="5" borderId="18" xfId="0" applyNumberFormat="1" applyFont="1" applyFill="1" applyBorder="1" applyAlignment="1">
      <alignment horizontal="center"/>
    </xf>
    <xf numFmtId="173" fontId="33" fillId="5" borderId="18" xfId="0" applyNumberFormat="1" applyFont="1" applyFill="1" applyBorder="1" applyAlignment="1">
      <alignment horizontal="center"/>
    </xf>
    <xf numFmtId="165" fontId="33" fillId="5" borderId="18" xfId="0" applyNumberFormat="1" applyFont="1" applyFill="1" applyBorder="1" applyAlignment="1">
      <alignment horizontal="center"/>
    </xf>
    <xf numFmtId="0" fontId="33" fillId="5" borderId="18" xfId="0" applyFont="1" applyFill="1" applyBorder="1" applyAlignment="1">
      <alignment horizontal="center"/>
    </xf>
    <xf numFmtId="1" fontId="32" fillId="11" borderId="18" xfId="0" applyNumberFormat="1" applyFont="1" applyFill="1" applyBorder="1" applyAlignment="1">
      <alignment horizontal="center"/>
    </xf>
    <xf numFmtId="0" fontId="32" fillId="11" borderId="18" xfId="0" applyFont="1" applyFill="1" applyBorder="1" applyAlignment="1">
      <alignment horizontal="left"/>
    </xf>
    <xf numFmtId="164" fontId="32" fillId="11" borderId="18" xfId="0" applyNumberFormat="1" applyFont="1" applyFill="1" applyBorder="1" applyAlignment="1">
      <alignment horizontal="center"/>
    </xf>
    <xf numFmtId="173" fontId="32" fillId="11" borderId="18" xfId="0" applyNumberFormat="1" applyFont="1" applyFill="1" applyBorder="1" applyAlignment="1">
      <alignment horizontal="center"/>
    </xf>
    <xf numFmtId="165" fontId="32" fillId="11" borderId="18" xfId="0" applyNumberFormat="1" applyFont="1" applyFill="1" applyBorder="1" applyAlignment="1">
      <alignment horizontal="center"/>
    </xf>
    <xf numFmtId="0" fontId="32" fillId="11" borderId="18" xfId="0" applyFont="1" applyFill="1" applyBorder="1" applyAlignment="1">
      <alignment horizontal="center"/>
    </xf>
    <xf numFmtId="1" fontId="32" fillId="8" borderId="18" xfId="0" applyNumberFormat="1" applyFont="1" applyFill="1" applyBorder="1" applyAlignment="1">
      <alignment horizontal="center"/>
    </xf>
    <xf numFmtId="0" fontId="32" fillId="8" borderId="18" xfId="0" applyFont="1" applyFill="1" applyBorder="1" applyAlignment="1">
      <alignment horizontal="left"/>
    </xf>
    <xf numFmtId="164" fontId="32" fillId="8" borderId="18" xfId="0" applyNumberFormat="1" applyFont="1" applyFill="1" applyBorder="1" applyAlignment="1">
      <alignment horizontal="center"/>
    </xf>
    <xf numFmtId="173" fontId="32" fillId="8" borderId="18" xfId="0" applyNumberFormat="1" applyFont="1" applyFill="1" applyBorder="1" applyAlignment="1">
      <alignment horizontal="center"/>
    </xf>
    <xf numFmtId="165" fontId="32" fillId="8" borderId="18" xfId="0" applyNumberFormat="1" applyFont="1" applyFill="1" applyBorder="1" applyAlignment="1">
      <alignment horizontal="center"/>
    </xf>
    <xf numFmtId="0" fontId="32" fillId="8" borderId="18" xfId="0" applyFont="1" applyFill="1" applyBorder="1" applyAlignment="1">
      <alignment horizontal="center"/>
    </xf>
    <xf numFmtId="1" fontId="32" fillId="11" borderId="19" xfId="0" applyNumberFormat="1" applyFont="1" applyFill="1" applyBorder="1" applyAlignment="1">
      <alignment horizontal="center"/>
    </xf>
    <xf numFmtId="0" fontId="32" fillId="11" borderId="19" xfId="0" applyFont="1" applyFill="1" applyBorder="1" applyAlignment="1">
      <alignment horizontal="left"/>
    </xf>
    <xf numFmtId="164" fontId="32" fillId="11" borderId="19" xfId="0" applyNumberFormat="1" applyFont="1" applyFill="1" applyBorder="1" applyAlignment="1">
      <alignment horizontal="center"/>
    </xf>
    <xf numFmtId="173" fontId="32" fillId="11" borderId="19" xfId="0" applyNumberFormat="1" applyFont="1" applyFill="1" applyBorder="1" applyAlignment="1">
      <alignment horizontal="center"/>
    </xf>
    <xf numFmtId="165" fontId="32" fillId="11" borderId="19" xfId="0" applyNumberFormat="1" applyFont="1" applyFill="1" applyBorder="1" applyAlignment="1">
      <alignment horizontal="center"/>
    </xf>
    <xf numFmtId="0" fontId="32" fillId="11" borderId="19" xfId="0" applyFont="1" applyFill="1" applyBorder="1" applyAlignment="1">
      <alignment horizontal="center"/>
    </xf>
    <xf numFmtId="0" fontId="37" fillId="6" borderId="20" xfId="0" applyFont="1" applyFill="1" applyBorder="1" applyAlignment="1">
      <alignment horizontal="center" vertical="center" wrapText="1"/>
    </xf>
    <xf numFmtId="0" fontId="37" fillId="6" borderId="21" xfId="0" applyFont="1" applyFill="1" applyBorder="1" applyAlignment="1">
      <alignment horizontal="center" vertical="center" wrapText="1"/>
    </xf>
    <xf numFmtId="0" fontId="37" fillId="6" borderId="22" xfId="0" applyFont="1" applyFill="1" applyBorder="1" applyAlignment="1">
      <alignment horizontal="center" vertical="center" wrapText="1"/>
    </xf>
    <xf numFmtId="0" fontId="37" fillId="8" borderId="23" xfId="0" applyFont="1" applyFill="1" applyBorder="1" applyAlignment="1">
      <alignment horizontal="left"/>
    </xf>
    <xf numFmtId="0" fontId="36" fillId="8" borderId="24" xfId="0" applyFont="1" applyFill="1" applyBorder="1" applyAlignment="1">
      <alignment horizontal="center"/>
    </xf>
    <xf numFmtId="0" fontId="36" fillId="8" borderId="25" xfId="0" applyFont="1" applyFill="1" applyBorder="1" applyAlignment="1">
      <alignment horizontal="center"/>
    </xf>
    <xf numFmtId="0" fontId="37" fillId="11" borderId="23" xfId="0" applyFont="1" applyFill="1" applyBorder="1" applyAlignment="1">
      <alignment horizontal="left"/>
    </xf>
    <xf numFmtId="0" fontId="36" fillId="11" borderId="24" xfId="0" applyFont="1" applyFill="1" applyBorder="1" applyAlignment="1">
      <alignment horizontal="center"/>
    </xf>
    <xf numFmtId="0" fontId="36" fillId="11" borderId="25" xfId="0" applyFont="1" applyFill="1" applyBorder="1" applyAlignment="1">
      <alignment horizontal="center"/>
    </xf>
    <xf numFmtId="0" fontId="37" fillId="11" borderId="26" xfId="0" applyFont="1" applyFill="1" applyBorder="1" applyAlignment="1">
      <alignment horizontal="left"/>
    </xf>
    <xf numFmtId="0" fontId="36" fillId="11" borderId="27" xfId="0" applyFont="1" applyFill="1" applyBorder="1" applyAlignment="1">
      <alignment horizontal="center"/>
    </xf>
    <xf numFmtId="0" fontId="36" fillId="11" borderId="28" xfId="0" applyFont="1" applyFill="1" applyBorder="1" applyAlignment="1">
      <alignment horizontal="center"/>
    </xf>
    <xf numFmtId="0" fontId="0" fillId="12" borderId="0" xfId="0" applyFill="1"/>
    <xf numFmtId="0" fontId="39" fillId="12" borderId="0" xfId="0" applyFont="1" applyFill="1"/>
    <xf numFmtId="164" fontId="39" fillId="12" borderId="0" xfId="0" applyNumberFormat="1" applyFont="1" applyFill="1"/>
    <xf numFmtId="0" fontId="43" fillId="13" borderId="0" xfId="0" applyFont="1" applyFill="1" applyAlignment="1">
      <alignment wrapText="1"/>
    </xf>
    <xf numFmtId="0" fontId="44" fillId="14" borderId="0" xfId="0" applyFont="1" applyFill="1" applyAlignment="1">
      <alignment wrapText="1"/>
    </xf>
    <xf numFmtId="0" fontId="45" fillId="13" borderId="0" xfId="0" applyFont="1" applyFill="1" applyAlignment="1">
      <alignment wrapText="1"/>
    </xf>
    <xf numFmtId="0" fontId="46" fillId="0" borderId="0" xfId="0" applyFont="1" applyAlignment="1">
      <alignment wrapText="1"/>
    </xf>
    <xf numFmtId="0" fontId="47" fillId="0" borderId="0" xfId="0" applyFont="1" applyAlignment="1">
      <alignment wrapText="1"/>
    </xf>
    <xf numFmtId="0" fontId="24" fillId="3" borderId="0" xfId="0" applyFont="1" applyFill="1"/>
    <xf numFmtId="0" fontId="48" fillId="2" borderId="0" xfId="0" applyFont="1" applyFill="1"/>
    <xf numFmtId="0" fontId="49" fillId="3" borderId="0" xfId="0" applyFont="1" applyFill="1"/>
    <xf numFmtId="0" fontId="36" fillId="0" borderId="0" xfId="0" applyFont="1"/>
    <xf numFmtId="0" fontId="37" fillId="0" borderId="0" xfId="0" applyFont="1"/>
    <xf numFmtId="0" fontId="50" fillId="0" borderId="0" xfId="0" applyFont="1"/>
    <xf numFmtId="0" fontId="17" fillId="15" borderId="0" xfId="0" applyFont="1" applyFill="1" applyAlignment="1">
      <alignment horizontal="center"/>
    </xf>
    <xf numFmtId="0" fontId="33" fillId="2" borderId="0" xfId="0" applyFont="1" applyFill="1"/>
    <xf numFmtId="0" fontId="37" fillId="7" borderId="0" xfId="0" applyFont="1" applyFill="1"/>
    <xf numFmtId="0" fontId="51" fillId="0" borderId="0" xfId="0" applyFont="1"/>
    <xf numFmtId="0" fontId="52" fillId="0" borderId="0" xfId="0" applyFont="1"/>
    <xf numFmtId="0" fontId="19" fillId="2" borderId="0" xfId="0" applyFont="1" applyFill="1"/>
    <xf numFmtId="0" fontId="37" fillId="2" borderId="0" xfId="0" applyFont="1" applyFill="1"/>
    <xf numFmtId="0" fontId="53" fillId="7" borderId="0" xfId="0" applyFont="1" applyFill="1"/>
    <xf numFmtId="3" fontId="36" fillId="0" borderId="0" xfId="0" applyNumberFormat="1" applyFont="1"/>
    <xf numFmtId="10" fontId="36" fillId="0" borderId="0" xfId="0" applyNumberFormat="1" applyFont="1"/>
    <xf numFmtId="9" fontId="36" fillId="0" borderId="0" xfId="0" applyNumberFormat="1" applyFont="1"/>
    <xf numFmtId="0" fontId="29" fillId="0" borderId="0" xfId="0" applyFont="1"/>
    <xf numFmtId="0" fontId="54" fillId="0" borderId="0" xfId="0" applyFont="1"/>
    <xf numFmtId="0" fontId="55" fillId="0" borderId="0" xfId="0" applyFont="1"/>
    <xf numFmtId="0" fontId="42" fillId="0" borderId="0" xfId="0" applyFont="1"/>
    <xf numFmtId="0" fontId="51" fillId="4" borderId="0" xfId="0" applyFont="1" applyFill="1"/>
    <xf numFmtId="0" fontId="37" fillId="5" borderId="0" xfId="0" applyFont="1" applyFill="1"/>
    <xf numFmtId="0" fontId="33" fillId="2" borderId="0" xfId="0" applyFont="1" applyFill="1" applyAlignment="1">
      <alignment horizontal="center"/>
    </xf>
    <xf numFmtId="0" fontId="56" fillId="7" borderId="0" xfId="0" applyFont="1" applyFill="1" applyAlignment="1">
      <alignment horizontal="center"/>
    </xf>
    <xf numFmtId="0" fontId="52" fillId="0" borderId="0" xfId="0" applyFont="1" applyAlignment="1">
      <alignment horizontal="center"/>
    </xf>
    <xf numFmtId="0" fontId="19" fillId="16" borderId="29" xfId="0" applyFont="1" applyFill="1" applyBorder="1" applyAlignment="1">
      <alignment horizontal="center"/>
    </xf>
    <xf numFmtId="0" fontId="19" fillId="16" borderId="30" xfId="0" applyFont="1" applyFill="1" applyBorder="1" applyAlignment="1">
      <alignment horizontal="center"/>
    </xf>
    <xf numFmtId="164" fontId="19" fillId="16" borderId="30" xfId="0" applyNumberFormat="1" applyFont="1" applyFill="1" applyBorder="1" applyAlignment="1">
      <alignment horizontal="center"/>
    </xf>
    <xf numFmtId="165" fontId="19" fillId="16" borderId="29" xfId="0" applyNumberFormat="1" applyFont="1" applyFill="1" applyBorder="1" applyAlignment="1">
      <alignment horizontal="center"/>
    </xf>
    <xf numFmtId="165" fontId="19" fillId="16" borderId="30" xfId="0" applyNumberFormat="1" applyFont="1" applyFill="1" applyBorder="1" applyAlignment="1">
      <alignment horizontal="center"/>
    </xf>
    <xf numFmtId="0" fontId="19" fillId="4" borderId="29" xfId="0" applyFont="1" applyFill="1" applyBorder="1" applyAlignment="1">
      <alignment horizontal="center"/>
    </xf>
    <xf numFmtId="170" fontId="19" fillId="16" borderId="30" xfId="0" applyNumberFormat="1" applyFont="1" applyFill="1" applyBorder="1" applyAlignment="1">
      <alignment horizontal="center"/>
    </xf>
    <xf numFmtId="10" fontId="19" fillId="16" borderId="30" xfId="0" applyNumberFormat="1" applyFont="1" applyFill="1" applyBorder="1" applyAlignment="1">
      <alignment horizontal="center"/>
    </xf>
    <xf numFmtId="9" fontId="19" fillId="16" borderId="30" xfId="0" applyNumberFormat="1" applyFont="1" applyFill="1" applyBorder="1" applyAlignment="1">
      <alignment horizontal="center"/>
    </xf>
    <xf numFmtId="0" fontId="57" fillId="4" borderId="29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CC0000"/>
      </font>
    </dxf>
    <dxf>
      <font>
        <color rgb="FFCC0000"/>
      </font>
    </dxf>
    <dxf>
      <font>
        <color rgb="FFBF6900"/>
      </font>
    </dxf>
    <dxf>
      <font>
        <color rgb="FF9C6500"/>
      </font>
    </dxf>
    <dxf>
      <font>
        <color rgb="FF006100"/>
      </font>
    </dxf>
    <dxf>
      <font>
        <color rgb="FF008000"/>
      </font>
    </dxf>
    <dxf>
      <font>
        <color rgb="FFFF0000"/>
      </font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Total Net Worth vs. No Property Baseline (Year 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Dashboard!$A$50</c:f>
              <c:strCache>
                <c:ptCount val="1"/>
                <c:pt idx="0">
                  <c:v>Total Net Worth ($)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Dashboard!$B$49:$G$49</c:f>
              <c:strCache>
                <c:ptCount val="6"/>
                <c:pt idx="0">
                  <c:v>HDB 1984</c:v>
                </c:pt>
                <c:pt idx="1">
                  <c:v>HDB 2005</c:v>
                </c:pt>
                <c:pt idx="2">
                  <c:v>HDB 2015</c:v>
                </c:pt>
                <c:pt idx="3">
                  <c:v>Condo 99LH</c:v>
                </c:pt>
                <c:pt idx="4">
                  <c:v>FH Condo</c:v>
                </c:pt>
                <c:pt idx="5">
                  <c:v>FH Landed</c:v>
                </c:pt>
              </c:strCache>
            </c:strRef>
          </c:cat>
          <c:val>
            <c:numRef>
              <c:f>Dashboard!$B$50:$G$50</c:f>
              <c:numCache>
                <c:formatCode>"$"#,##0</c:formatCode>
                <c:ptCount val="6"/>
                <c:pt idx="0">
                  <c:v>683202.12567288184</c:v>
                </c:pt>
                <c:pt idx="1">
                  <c:v>1872152.0645452566</c:v>
                </c:pt>
                <c:pt idx="2">
                  <c:v>1342299.0003581499</c:v>
                </c:pt>
                <c:pt idx="3">
                  <c:v>752108.7266552113</c:v>
                </c:pt>
                <c:pt idx="4">
                  <c:v>2125118.0502451714</c:v>
                </c:pt>
                <c:pt idx="5">
                  <c:v>4913192.718579337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F-9748-953B-D75B9D3F2C94}"/>
            </c:ext>
          </c:extLst>
        </c:ser>
        <c:ser>
          <c:idx val="1"/>
          <c:order val="1"/>
          <c:tx>
            <c:strRef>
              <c:f>Dashboard!$A$51</c:f>
              <c:strCache>
                <c:ptCount val="1"/>
                <c:pt idx="0">
                  <c:v>No Property Baseline ($)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Dashboard!$B$49:$G$49</c:f>
              <c:strCache>
                <c:ptCount val="6"/>
                <c:pt idx="0">
                  <c:v>HDB 1984</c:v>
                </c:pt>
                <c:pt idx="1">
                  <c:v>HDB 2005</c:v>
                </c:pt>
                <c:pt idx="2">
                  <c:v>HDB 2015</c:v>
                </c:pt>
                <c:pt idx="3">
                  <c:v>Condo 99LH</c:v>
                </c:pt>
                <c:pt idx="4">
                  <c:v>FH Condo</c:v>
                </c:pt>
                <c:pt idx="5">
                  <c:v>FH Landed</c:v>
                </c:pt>
              </c:strCache>
            </c:strRef>
          </c:cat>
          <c:val>
            <c:numRef>
              <c:f>Dashboard!$B$51:$G$51</c:f>
              <c:numCache>
                <c:formatCode>"$"#,##0</c:formatCode>
                <c:ptCount val="6"/>
                <c:pt idx="0">
                  <c:v>2334205.9924832713</c:v>
                </c:pt>
                <c:pt idx="1">
                  <c:v>2334205.9924832713</c:v>
                </c:pt>
                <c:pt idx="2">
                  <c:v>2334205.9924832713</c:v>
                </c:pt>
                <c:pt idx="3">
                  <c:v>2334205.9924832713</c:v>
                </c:pt>
                <c:pt idx="4">
                  <c:v>2334205.9924832713</c:v>
                </c:pt>
                <c:pt idx="5">
                  <c:v>2334205.9924832713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F-9748-953B-D75B9D3F2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751616"/>
        <c:axId val="2110759232"/>
      </c:barChart>
      <c:catAx>
        <c:axId val="211075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59232"/>
        <c:crosses val="autoZero"/>
        <c:auto val="1"/>
        <c:lblAlgn val="ctr"/>
        <c:lblOffset val="100"/>
        <c:noMultiLvlLbl val="0"/>
      </c:catAx>
      <c:valAx>
        <c:axId val="21107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75161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Net Worth Composition: Property Equity + Liquid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Dashboard!$A$54</c:f>
              <c:strCache>
                <c:ptCount val="1"/>
                <c:pt idx="0">
                  <c:v>Property Equity ($)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Dashboard!$B$53:$G$53</c:f>
              <c:strCache>
                <c:ptCount val="6"/>
                <c:pt idx="0">
                  <c:v>HDB 1984</c:v>
                </c:pt>
                <c:pt idx="1">
                  <c:v>HDB 2005</c:v>
                </c:pt>
                <c:pt idx="2">
                  <c:v>HDB 2015</c:v>
                </c:pt>
                <c:pt idx="3">
                  <c:v>Condo 99LH</c:v>
                </c:pt>
                <c:pt idx="4">
                  <c:v>FH Condo</c:v>
                </c:pt>
                <c:pt idx="5">
                  <c:v>FH Landed</c:v>
                </c:pt>
              </c:strCache>
            </c:strRef>
          </c:cat>
          <c:val>
            <c:numRef>
              <c:f>Dashboard!$B$54:$G$54</c:f>
              <c:numCache>
                <c:formatCode>"$"#,##0</c:formatCode>
                <c:ptCount val="6"/>
                <c:pt idx="0">
                  <c:v>872887.86638471275</c:v>
                </c:pt>
                <c:pt idx="1">
                  <c:v>728542.06355773844</c:v>
                </c:pt>
                <c:pt idx="2">
                  <c:v>1531984.7410699809</c:v>
                </c:pt>
                <c:pt idx="3">
                  <c:v>2979508.9499594648</c:v>
                </c:pt>
                <c:pt idx="4">
                  <c:v>7212238.5299675521</c:v>
                </c:pt>
                <c:pt idx="5">
                  <c:v>16332550.908941854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D-3A45-91A6-201D920CFC9B}"/>
            </c:ext>
          </c:extLst>
        </c:ser>
        <c:ser>
          <c:idx val="1"/>
          <c:order val="1"/>
          <c:tx>
            <c:strRef>
              <c:f>Dashboard!$A$55</c:f>
              <c:strCache>
                <c:ptCount val="1"/>
                <c:pt idx="0">
                  <c:v>Liquid Portfolio ($)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  <a:effectLst/>
          </c:spPr>
          <c:invertIfNegative val="0"/>
          <c:cat>
            <c:strRef>
              <c:f>Dashboard!$B$53:$G$53</c:f>
              <c:strCache>
                <c:ptCount val="6"/>
                <c:pt idx="0">
                  <c:v>HDB 1984</c:v>
                </c:pt>
                <c:pt idx="1">
                  <c:v>HDB 2005</c:v>
                </c:pt>
                <c:pt idx="2">
                  <c:v>HDB 2015</c:v>
                </c:pt>
                <c:pt idx="3">
                  <c:v>Condo 99LH</c:v>
                </c:pt>
                <c:pt idx="4">
                  <c:v>FH Condo</c:v>
                </c:pt>
                <c:pt idx="5">
                  <c:v>FH Landed</c:v>
                </c:pt>
              </c:strCache>
            </c:strRef>
          </c:cat>
          <c:val>
            <c:numRef>
              <c:f>Dashboard!$B$55:$G$55</c:f>
              <c:numCache>
                <c:formatCode>"$"#,##0</c:formatCode>
                <c:ptCount val="6"/>
                <c:pt idx="0">
                  <c:v>-189685.74071183093</c:v>
                </c:pt>
                <c:pt idx="1">
                  <c:v>1143610.0009875181</c:v>
                </c:pt>
                <c:pt idx="2">
                  <c:v>-189685.74071183093</c:v>
                </c:pt>
                <c:pt idx="3">
                  <c:v>-2227400.2233042535</c:v>
                </c:pt>
                <c:pt idx="4">
                  <c:v>-5087120.4797223806</c:v>
                </c:pt>
                <c:pt idx="5">
                  <c:v>-11419358.190362517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D-3A45-91A6-201D920CF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1937088"/>
        <c:axId val="2111945152"/>
      </c:barChart>
      <c:catAx>
        <c:axId val="211193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45152"/>
        <c:crosses val="autoZero"/>
        <c:auto val="1"/>
        <c:lblAlgn val="ctr"/>
        <c:lblOffset val="100"/>
        <c:noMultiLvlLbl val="0"/>
      </c:catAx>
      <c:valAx>
        <c:axId val="211194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370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Annualized ROE on Equity by Property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Dashboard!$A$58</c:f>
              <c:strCache>
                <c:ptCount val="1"/>
                <c:pt idx="0">
                  <c:v>Annualized ROE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 Narrow"/>
                    <a:ea typeface="Aptos Narrow"/>
                    <a:cs typeface="Aptos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Dashboard!$B$57:$G$57</c:f>
              <c:strCache>
                <c:ptCount val="6"/>
                <c:pt idx="0">
                  <c:v>HDB 1984</c:v>
                </c:pt>
                <c:pt idx="1">
                  <c:v>HDB 2005</c:v>
                </c:pt>
                <c:pt idx="2">
                  <c:v>HDB 2015</c:v>
                </c:pt>
                <c:pt idx="3">
                  <c:v>Condo 99LH</c:v>
                </c:pt>
                <c:pt idx="4">
                  <c:v>FH Condo</c:v>
                </c:pt>
                <c:pt idx="5">
                  <c:v>FH Landed</c:v>
                </c:pt>
              </c:strCache>
            </c:strRef>
          </c:cat>
          <c:val>
            <c:numRef>
              <c:f>Dashboard!$B$58:$G$58</c:f>
              <c:numCache>
                <c:formatCode>"$"#,##0</c:formatCode>
                <c:ptCount val="6"/>
                <c:pt idx="0">
                  <c:v>4.8579418233316796E-2</c:v>
                </c:pt>
                <c:pt idx="1">
                  <c:v>7.3631353729964877E-2</c:v>
                </c:pt>
                <c:pt idx="2">
                  <c:v>7.4152745492967576E-2</c:v>
                </c:pt>
                <c:pt idx="3">
                  <c:v>7.3812702070754632E-2</c:v>
                </c:pt>
                <c:pt idx="4">
                  <c:v>9.4742578339837902E-2</c:v>
                </c:pt>
                <c:pt idx="5">
                  <c:v>0.10599519882779429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E-3940-B990-9F8A6B1B0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441280"/>
        <c:axId val="2113439040"/>
      </c:barChart>
      <c:catAx>
        <c:axId val="21134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2113439040"/>
        <c:crosses val="autoZero"/>
        <c:auto val="1"/>
        <c:lblAlgn val="ctr"/>
        <c:lblOffset val="100"/>
        <c:noMultiLvlLbl val="0"/>
      </c:catAx>
      <c:valAx>
        <c:axId val="211343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21134412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Cash Flow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'Cash Flow Waterfall'!$M$8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'Cash Flow Waterfall'!$M$9:$M$28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0-D642-96A8-5B580D13475E}"/>
            </c:ext>
          </c:extLst>
        </c:ser>
        <c:ser>
          <c:idx val="1"/>
          <c:order val="1"/>
          <c:tx>
            <c:strRef>
              <c:f>'Cash Flow Waterfall'!$N$8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'Cash Flow Waterfall'!$N$9:$N$28</c:f>
              <c:numCache>
                <c:formatCode>General</c:formatCode>
                <c:ptCount val="20"/>
                <c:pt idx="0">
                  <c:v>87727.5</c:v>
                </c:pt>
                <c:pt idx="1">
                  <c:v>85455.890443758923</c:v>
                </c:pt>
                <c:pt idx="2">
                  <c:v>83146.030222801826</c:v>
                </c:pt>
                <c:pt idx="3">
                  <c:v>80797.275250490697</c:v>
                </c:pt>
                <c:pt idx="4">
                  <c:v>78408.970594691826</c:v>
                </c:pt>
                <c:pt idx="5">
                  <c:v>75980.450295148636</c:v>
                </c:pt>
                <c:pt idx="6">
                  <c:v>73511.037177783772</c:v>
                </c:pt>
                <c:pt idx="7">
                  <c:v>71000.042665874396</c:v>
                </c:pt>
                <c:pt idx="8">
                  <c:v>68446.766588047642</c:v>
                </c:pt>
                <c:pt idx="9">
                  <c:v>65850.496983043631</c:v>
                </c:pt>
                <c:pt idx="10">
                  <c:v>63210.509901190271</c:v>
                </c:pt>
                <c:pt idx="11">
                  <c:v>60526.069202535793</c:v>
                </c:pt>
                <c:pt idx="12">
                  <c:v>57796.426351581482</c:v>
                </c:pt>
                <c:pt idx="13">
                  <c:v>55020.820208558638</c:v>
                </c:pt>
                <c:pt idx="14">
                  <c:v>52198.476817190487</c:v>
                </c:pt>
                <c:pt idx="15">
                  <c:v>49328.60918888056</c:v>
                </c:pt>
                <c:pt idx="16">
                  <c:v>46410.417083266999</c:v>
                </c:pt>
                <c:pt idx="17">
                  <c:v>43443.086785081687</c:v>
                </c:pt>
                <c:pt idx="18">
                  <c:v>40425.790877251922</c:v>
                </c:pt>
                <c:pt idx="19">
                  <c:v>37357.688010181984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0-D642-96A8-5B580D13475E}"/>
            </c:ext>
          </c:extLst>
        </c:ser>
        <c:ser>
          <c:idx val="2"/>
          <c:order val="2"/>
          <c:tx>
            <c:strRef>
              <c:f>'Cash Flow Waterfall'!$O$8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'Cash Flow Waterfall'!$O$9:$O$28</c:f>
              <c:numCache>
                <c:formatCode>General</c:formatCode>
                <c:ptCount val="20"/>
                <c:pt idx="0">
                  <c:v>134905.10592874591</c:v>
                </c:pt>
                <c:pt idx="1">
                  <c:v>137176.71548498698</c:v>
                </c:pt>
                <c:pt idx="2">
                  <c:v>139486.57570594409</c:v>
                </c:pt>
                <c:pt idx="3">
                  <c:v>141835.33067825521</c:v>
                </c:pt>
                <c:pt idx="4">
                  <c:v>144223.63533405407</c:v>
                </c:pt>
                <c:pt idx="5">
                  <c:v>146652.15563359729</c:v>
                </c:pt>
                <c:pt idx="6">
                  <c:v>149121.56875096215</c:v>
                </c:pt>
                <c:pt idx="7">
                  <c:v>151632.56326287152</c:v>
                </c:pt>
                <c:pt idx="8">
                  <c:v>154185.83934069827</c:v>
                </c:pt>
                <c:pt idx="9">
                  <c:v>156782.10894570226</c:v>
                </c:pt>
                <c:pt idx="10">
                  <c:v>159422.09602755564</c:v>
                </c:pt>
                <c:pt idx="11">
                  <c:v>162106.53672621012</c:v>
                </c:pt>
                <c:pt idx="12">
                  <c:v>164836.17957716441</c:v>
                </c:pt>
                <c:pt idx="13">
                  <c:v>167611.78572018727</c:v>
                </c:pt>
                <c:pt idx="14">
                  <c:v>170434.1291115554</c:v>
                </c:pt>
                <c:pt idx="15">
                  <c:v>173303.99673986534</c:v>
                </c:pt>
                <c:pt idx="16">
                  <c:v>176222.1888454789</c:v>
                </c:pt>
                <c:pt idx="17">
                  <c:v>179189.51914366422</c:v>
                </c:pt>
                <c:pt idx="18">
                  <c:v>182206.81505149399</c:v>
                </c:pt>
                <c:pt idx="19">
                  <c:v>185274.91791856394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0-D642-96A8-5B580D13475E}"/>
            </c:ext>
          </c:extLst>
        </c:ser>
        <c:ser>
          <c:idx val="3"/>
          <c:order val="3"/>
          <c:tx>
            <c:strRef>
              <c:f>'Cash Flow Waterfall'!$P$8</c:f>
              <c:strCache>
                <c:ptCount val="1"/>
                <c:pt idx="0">
                  <c:v>Net Rental CF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'Cash Flow Waterfall'!$P$9:$P$28</c:f>
              <c:numCache>
                <c:formatCode>General</c:formatCode>
                <c:ptCount val="20"/>
                <c:pt idx="0">
                  <c:v>48112.5</c:v>
                </c:pt>
                <c:pt idx="1">
                  <c:v>52796.109556241077</c:v>
                </c:pt>
                <c:pt idx="2">
                  <c:v>57566.209777198172</c:v>
                </c:pt>
                <c:pt idx="3">
                  <c:v>62424.409549509284</c:v>
                </c:pt>
                <c:pt idx="4">
                  <c:v>67372.347901308181</c:v>
                </c:pt>
                <c:pt idx="5">
                  <c:v>72411.694570771375</c:v>
                </c:pt>
                <c:pt idx="6">
                  <c:v>77544.150585454641</c:v>
                </c:pt>
                <c:pt idx="7">
                  <c:v>82771.448852628731</c:v>
                </c:pt>
                <c:pt idx="8">
                  <c:v>88095.354760825576</c:v>
                </c:pt>
                <c:pt idx="9">
                  <c:v>93517.666792807082</c:v>
                </c:pt>
                <c:pt idx="10">
                  <c:v>99040.217150177428</c:v>
                </c:pt>
                <c:pt idx="11">
                  <c:v>104664.87238985924</c:v>
                </c:pt>
                <c:pt idx="12">
                  <c:v>110393.53407266147</c:v>
                </c:pt>
                <c:pt idx="13">
                  <c:v>116228.13942416917</c:v>
                </c:pt>
                <c:pt idx="14">
                  <c:v>122170.66200819188</c:v>
                </c:pt>
                <c:pt idx="15">
                  <c:v>128223.11241300942</c:v>
                </c:pt>
                <c:pt idx="16">
                  <c:v>134387.53895066079</c:v>
                </c:pt>
                <c:pt idx="17">
                  <c:v>140666.02836952469</c:v>
                </c:pt>
                <c:pt idx="18">
                  <c:v>147060.70658044657</c:v>
                </c:pt>
                <c:pt idx="19">
                  <c:v>153573.73939667048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B0-D642-96A8-5B580D13475E}"/>
            </c:ext>
          </c:extLst>
        </c:ser>
        <c:ser>
          <c:idx val="4"/>
          <c:order val="4"/>
          <c:tx>
            <c:strRef>
              <c:f>'Cash Flow Waterfall'!$Q$8</c:f>
              <c:strCache>
                <c:ptCount val="1"/>
                <c:pt idx="0">
                  <c:v>Taxes &amp; Exp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'Cash Flow Waterfall'!$Q$9:$Q$28</c:f>
              <c:numCache>
                <c:formatCode>General</c:formatCode>
                <c:ptCount val="20"/>
                <c:pt idx="0">
                  <c:v>44160</c:v>
                </c:pt>
                <c:pt idx="1">
                  <c:v>45348</c:v>
                </c:pt>
                <c:pt idx="2">
                  <c:v>46559.76</c:v>
                </c:pt>
                <c:pt idx="3">
                  <c:v>47795.755199999992</c:v>
                </c:pt>
                <c:pt idx="4">
                  <c:v>49056.470304000002</c:v>
                </c:pt>
                <c:pt idx="5">
                  <c:v>50342.399710080004</c:v>
                </c:pt>
                <c:pt idx="6">
                  <c:v>51654.047704281606</c:v>
                </c:pt>
                <c:pt idx="7">
                  <c:v>52991.928658367222</c:v>
                </c:pt>
                <c:pt idx="8">
                  <c:v>54356.567231534573</c:v>
                </c:pt>
                <c:pt idx="9">
                  <c:v>55748.498576165264</c:v>
                </c:pt>
                <c:pt idx="10">
                  <c:v>57168.268547688574</c:v>
                </c:pt>
                <c:pt idx="11">
                  <c:v>58616.433918642331</c:v>
                </c:pt>
                <c:pt idx="12">
                  <c:v>60093.562597015189</c:v>
                </c:pt>
                <c:pt idx="13">
                  <c:v>61600.23384895549</c:v>
                </c:pt>
                <c:pt idx="14">
                  <c:v>63137.038525934608</c:v>
                </c:pt>
                <c:pt idx="15">
                  <c:v>64704.579296453274</c:v>
                </c:pt>
                <c:pt idx="16">
                  <c:v>66303.47088238236</c:v>
                </c:pt>
                <c:pt idx="17">
                  <c:v>67934.340300030017</c:v>
                </c:pt>
                <c:pt idx="18">
                  <c:v>69597.8271060306</c:v>
                </c:pt>
                <c:pt idx="19">
                  <c:v>71294.583648151209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B0-D642-96A8-5B580D134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701119"/>
        <c:axId val="272187839"/>
      </c:barChart>
      <c:catAx>
        <c:axId val="461701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187839"/>
        <c:crosses val="autoZero"/>
        <c:auto val="1"/>
        <c:lblAlgn val="ctr"/>
        <c:lblOffset val="100"/>
        <c:noMultiLvlLbl val="0"/>
      </c:catAx>
      <c:valAx>
        <c:axId val="27218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0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Property Equity Build-Up Over 20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'Cash Flow Waterfall'!$S$8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'Cash Flow Waterfall'!$S$9:$S$28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5-8940-8523-25777413706A}"/>
            </c:ext>
          </c:extLst>
        </c:ser>
        <c:ser>
          <c:idx val="1"/>
          <c:order val="1"/>
          <c:tx>
            <c:strRef>
              <c:f>'Cash Flow Waterfall'!$T$8</c:f>
              <c:strCache>
                <c:ptCount val="1"/>
                <c:pt idx="0">
                  <c:v>Market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'Cash Flow Waterfall'!$T$9:$T$28</c:f>
              <c:numCache>
                <c:formatCode>General</c:formatCode>
                <c:ptCount val="20"/>
                <c:pt idx="0">
                  <c:v>7350000</c:v>
                </c:pt>
                <c:pt idx="1">
                  <c:v>7717500</c:v>
                </c:pt>
                <c:pt idx="2">
                  <c:v>8103375</c:v>
                </c:pt>
                <c:pt idx="3">
                  <c:v>8508543.75</c:v>
                </c:pt>
                <c:pt idx="4">
                  <c:v>8933970.9375</c:v>
                </c:pt>
                <c:pt idx="5">
                  <c:v>9380669.484375</c:v>
                </c:pt>
                <c:pt idx="6">
                  <c:v>9849702.9585937504</c:v>
                </c:pt>
                <c:pt idx="7">
                  <c:v>10342188.106523437</c:v>
                </c:pt>
                <c:pt idx="8">
                  <c:v>10859297.51184961</c:v>
                </c:pt>
                <c:pt idx="9">
                  <c:v>11402262.387442091</c:v>
                </c:pt>
                <c:pt idx="10">
                  <c:v>11972375.506814197</c:v>
                </c:pt>
                <c:pt idx="11">
                  <c:v>12570994.282154907</c:v>
                </c:pt>
                <c:pt idx="12">
                  <c:v>13199543.996262653</c:v>
                </c:pt>
                <c:pt idx="13">
                  <c:v>13859521.196075786</c:v>
                </c:pt>
                <c:pt idx="14">
                  <c:v>14552497.255879575</c:v>
                </c:pt>
                <c:pt idx="15">
                  <c:v>15280122.118673556</c:v>
                </c:pt>
                <c:pt idx="16">
                  <c:v>16044128.224607235</c:v>
                </c:pt>
                <c:pt idx="17">
                  <c:v>16846334.635837596</c:v>
                </c:pt>
                <c:pt idx="18">
                  <c:v>17688651.367629476</c:v>
                </c:pt>
                <c:pt idx="19">
                  <c:v>18573083.936010949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5-8940-8523-25777413706A}"/>
            </c:ext>
          </c:extLst>
        </c:ser>
        <c:ser>
          <c:idx val="2"/>
          <c:order val="2"/>
          <c:tx>
            <c:strRef>
              <c:f>'Cash Flow Waterfall'!$U$8</c:f>
              <c:strCache>
                <c:ptCount val="1"/>
                <c:pt idx="0">
                  <c:v>Loan Balance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'Cash Flow Waterfall'!$U$9:$U$28</c:f>
              <c:numCache>
                <c:formatCode>General</c:formatCode>
                <c:ptCount val="20"/>
                <c:pt idx="0">
                  <c:v>5114056.8787408099</c:v>
                </c:pt>
                <c:pt idx="1">
                  <c:v>4975824.669228117</c:v>
                </c:pt>
                <c:pt idx="2">
                  <c:v>4835264.8264805926</c:v>
                </c:pt>
                <c:pt idx="3">
                  <c:v>4692338.156474676</c:v>
                </c:pt>
                <c:pt idx="4">
                  <c:v>4547004.8052153587</c:v>
                </c:pt>
                <c:pt idx="5">
                  <c:v>4399224.2476232061</c:v>
                </c:pt>
                <c:pt idx="6">
                  <c:v>4248955.2762342552</c:v>
                </c:pt>
                <c:pt idx="7">
                  <c:v>4096155.9897096134</c:v>
                </c:pt>
                <c:pt idx="8">
                  <c:v>3940783.7811516235</c:v>
                </c:pt>
                <c:pt idx="9">
                  <c:v>3782795.326223236</c:v>
                </c:pt>
                <c:pt idx="10">
                  <c:v>3622146.5710673728</c:v>
                </c:pt>
                <c:pt idx="11">
                  <c:v>3458792.7200228297</c:v>
                </c:pt>
                <c:pt idx="12">
                  <c:v>3292688.2231333717</c:v>
                </c:pt>
                <c:pt idx="13">
                  <c:v>3123786.7634464684</c:v>
                </c:pt>
                <c:pt idx="14">
                  <c:v>2952041.2440981786</c:v>
                </c:pt>
                <c:pt idx="15">
                  <c:v>2777403.7751805508</c:v>
                </c:pt>
                <c:pt idx="16">
                  <c:v>2599825.6603878927</c:v>
                </c:pt>
                <c:pt idx="17">
                  <c:v>2419257.383438176</c:v>
                </c:pt>
                <c:pt idx="18">
                  <c:v>2235648.5942658279</c:v>
                </c:pt>
                <c:pt idx="19">
                  <c:v>2048948.0949819779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5-8940-8523-25777413706A}"/>
            </c:ext>
          </c:extLst>
        </c:ser>
        <c:ser>
          <c:idx val="3"/>
          <c:order val="3"/>
          <c:tx>
            <c:strRef>
              <c:f>'Cash Flow Waterfall'!$V$8</c:f>
              <c:strCache>
                <c:ptCount val="1"/>
                <c:pt idx="0">
                  <c:v>Net Equity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'Cash Flow Waterfall'!$V$9:$V$28</c:f>
              <c:numCache>
                <c:formatCode>General</c:formatCode>
                <c:ptCount val="20"/>
                <c:pt idx="0">
                  <c:v>2228443.1212591901</c:v>
                </c:pt>
                <c:pt idx="1">
                  <c:v>2726487.830771883</c:v>
                </c:pt>
                <c:pt idx="2">
                  <c:v>3245042.9860194074</c:v>
                </c:pt>
                <c:pt idx="3">
                  <c:v>3785061.726337824</c:v>
                </c:pt>
                <c:pt idx="4">
                  <c:v>4347543.6684174538</c:v>
                </c:pt>
                <c:pt idx="5">
                  <c:v>4933537.2112879269</c:v>
                </c:pt>
                <c:pt idx="6">
                  <c:v>5544141.9562590318</c:v>
                </c:pt>
                <c:pt idx="7">
                  <c:v>6180511.2475608485</c:v>
                </c:pt>
                <c:pt idx="8">
                  <c:v>6843854.8397136871</c:v>
                </c:pt>
                <c:pt idx="9">
                  <c:v>7535441.6979599483</c:v>
                </c:pt>
                <c:pt idx="10">
                  <c:v>8256602.9384064442</c:v>
                </c:pt>
                <c:pt idx="11">
                  <c:v>9008734.9148581885</c:v>
                </c:pt>
                <c:pt idx="12">
                  <c:v>9793302.4596735444</c:v>
                </c:pt>
                <c:pt idx="13">
                  <c:v>10611842.286337188</c:v>
                </c:pt>
                <c:pt idx="14">
                  <c:v>11465966.561831962</c:v>
                </c:pt>
                <c:pt idx="15">
                  <c:v>12357366.657294836</c:v>
                </c:pt>
                <c:pt idx="16">
                  <c:v>13287817.08586622</c:v>
                </c:pt>
                <c:pt idx="17">
                  <c:v>14259179.63708747</c:v>
                </c:pt>
                <c:pt idx="18">
                  <c:v>15273407.717668898</c:v>
                </c:pt>
                <c:pt idx="19">
                  <c:v>16332550.908941854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C5-8940-8523-257774137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292415"/>
        <c:axId val="272291519"/>
      </c:areaChart>
      <c:catAx>
        <c:axId val="2722924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91519"/>
        <c:crosses val="autoZero"/>
        <c:auto val="1"/>
        <c:lblAlgn val="ctr"/>
        <c:lblOffset val="100"/>
        <c:noMultiLvlLbl val="0"/>
      </c:catAx>
      <c:valAx>
        <c:axId val="27229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2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0</xdr:rowOff>
    </xdr:from>
    <xdr:to>
      <xdr:col>4</xdr:col>
      <xdr:colOff>1270000</xdr:colOff>
      <xdr:row>81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F2B3977-BB5A-337D-121F-277F08725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81</xdr:row>
      <xdr:rowOff>152400</xdr:rowOff>
    </xdr:from>
    <xdr:to>
      <xdr:col>4</xdr:col>
      <xdr:colOff>1270000</xdr:colOff>
      <xdr:row>103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D310AD6-AE86-4DEC-2344-607911DE8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98</xdr:row>
      <xdr:rowOff>0</xdr:rowOff>
    </xdr:from>
    <xdr:to>
      <xdr:col>4</xdr:col>
      <xdr:colOff>1270000</xdr:colOff>
      <xdr:row>118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81BB5A-5449-2A43-9C1C-AE8C340BB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4</xdr:col>
      <xdr:colOff>381000</xdr:colOff>
      <xdr:row>43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A7853-B4E6-4BD9-3F86-EA510D682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4</xdr:col>
      <xdr:colOff>381000</xdr:colOff>
      <xdr:row>60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915C0-7C13-C6E4-F6D5-CD2580DB8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822FFE-A032-D141-83B8-32B6D445DB4C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DD78-4B0C-0F4F-8BB2-DA2391CAA294}">
  <sheetPr>
    <tabColor rgb="FF4472C4"/>
  </sheetPr>
  <dimension ref="A1:E198"/>
  <sheetViews>
    <sheetView tabSelected="1" workbookViewId="0">
      <pane ySplit="1" topLeftCell="A2" activePane="bottomLeft" state="frozen"/>
      <selection pane="bottomLeft" activeCell="H54" sqref="H54"/>
    </sheetView>
  </sheetViews>
  <sheetFormatPr baseColWidth="10" defaultRowHeight="16" x14ac:dyDescent="0.2"/>
  <cols>
    <col min="1" max="1" width="6.6640625" customWidth="1"/>
    <col min="2" max="2" width="36.6640625" customWidth="1"/>
    <col min="3" max="3" width="30" customWidth="1"/>
    <col min="4" max="4" width="130.5" bestFit="1" customWidth="1"/>
    <col min="5" max="5" width="26.6640625" customWidth="1"/>
  </cols>
  <sheetData>
    <row r="1" spans="1:4" ht="22" x14ac:dyDescent="0.3">
      <c r="A1" s="234" t="s">
        <v>1006</v>
      </c>
      <c r="B1" s="2"/>
      <c r="C1" s="2"/>
      <c r="D1" s="2"/>
    </row>
    <row r="3" spans="1:4" ht="18" x14ac:dyDescent="0.25">
      <c r="A3" s="4"/>
      <c r="B3" s="235" t="s">
        <v>1007</v>
      </c>
      <c r="C3" s="4"/>
      <c r="D3" s="4"/>
    </row>
    <row r="4" spans="1:4" x14ac:dyDescent="0.2">
      <c r="B4" s="236" t="s">
        <v>1008</v>
      </c>
    </row>
    <row r="5" spans="1:4" x14ac:dyDescent="0.2">
      <c r="B5" s="236" t="s">
        <v>1009</v>
      </c>
    </row>
    <row r="6" spans="1:4" x14ac:dyDescent="0.2">
      <c r="B6" s="236" t="s">
        <v>1010</v>
      </c>
    </row>
    <row r="7" spans="1:4" x14ac:dyDescent="0.2">
      <c r="B7" s="236" t="s">
        <v>1011</v>
      </c>
    </row>
    <row r="8" spans="1:4" x14ac:dyDescent="0.2">
      <c r="B8" s="236" t="s">
        <v>1012</v>
      </c>
    </row>
    <row r="9" spans="1:4" x14ac:dyDescent="0.2">
      <c r="B9" s="236" t="s">
        <v>1013</v>
      </c>
    </row>
    <row r="10" spans="1:4" x14ac:dyDescent="0.2">
      <c r="B10" s="236" t="s">
        <v>1014</v>
      </c>
    </row>
    <row r="11" spans="1:4" x14ac:dyDescent="0.2">
      <c r="B11" s="236" t="s">
        <v>1015</v>
      </c>
    </row>
    <row r="13" spans="1:4" x14ac:dyDescent="0.2">
      <c r="B13" s="237" t="s">
        <v>1016</v>
      </c>
    </row>
    <row r="14" spans="1:4" x14ac:dyDescent="0.2">
      <c r="B14" s="236" t="s">
        <v>1017</v>
      </c>
    </row>
    <row r="15" spans="1:4" x14ac:dyDescent="0.2">
      <c r="B15" s="236" t="s">
        <v>1018</v>
      </c>
    </row>
    <row r="16" spans="1:4" x14ac:dyDescent="0.2">
      <c r="B16" s="236" t="s">
        <v>1019</v>
      </c>
    </row>
    <row r="17" spans="1:5" x14ac:dyDescent="0.2">
      <c r="B17" s="236" t="s">
        <v>1020</v>
      </c>
    </row>
    <row r="18" spans="1:5" x14ac:dyDescent="0.2">
      <c r="B18" s="236" t="s">
        <v>1021</v>
      </c>
    </row>
    <row r="19" spans="1:5" x14ac:dyDescent="0.2">
      <c r="B19" s="236" t="s">
        <v>1022</v>
      </c>
    </row>
    <row r="21" spans="1:5" ht="18" x14ac:dyDescent="0.25">
      <c r="A21" s="4"/>
      <c r="B21" s="235" t="s">
        <v>1023</v>
      </c>
      <c r="C21" s="4"/>
      <c r="D21" s="4"/>
    </row>
    <row r="22" spans="1:5" x14ac:dyDescent="0.2">
      <c r="B22" s="238" t="s">
        <v>1024</v>
      </c>
    </row>
    <row r="23" spans="1:5" x14ac:dyDescent="0.2">
      <c r="B23" s="236" t="s">
        <v>1025</v>
      </c>
    </row>
    <row r="25" spans="1:5" x14ac:dyDescent="0.2">
      <c r="A25" s="239" t="s">
        <v>1026</v>
      </c>
      <c r="B25" s="240" t="s">
        <v>1027</v>
      </c>
      <c r="C25" s="2"/>
      <c r="D25" s="2"/>
      <c r="E25" s="256" t="s">
        <v>1272</v>
      </c>
    </row>
    <row r="26" spans="1:5" ht="17" thickBot="1" x14ac:dyDescent="0.25">
      <c r="B26" s="241" t="s">
        <v>1028</v>
      </c>
      <c r="C26" s="241" t="s">
        <v>1029</v>
      </c>
      <c r="D26" s="241" t="s">
        <v>1030</v>
      </c>
      <c r="E26" s="257" t="s">
        <v>1273</v>
      </c>
    </row>
    <row r="27" spans="1:5" ht="17" thickBot="1" x14ac:dyDescent="0.25">
      <c r="B27" s="242" t="s">
        <v>1031</v>
      </c>
      <c r="C27" s="236" t="s">
        <v>1032</v>
      </c>
      <c r="D27" s="236" t="s">
        <v>1033</v>
      </c>
      <c r="E27" s="260">
        <v>32</v>
      </c>
    </row>
    <row r="28" spans="1:5" ht="17" thickBot="1" x14ac:dyDescent="0.25">
      <c r="B28" s="242" t="s">
        <v>1034</v>
      </c>
      <c r="C28" s="236" t="s">
        <v>1035</v>
      </c>
      <c r="D28" s="236" t="s">
        <v>1036</v>
      </c>
      <c r="E28" s="260">
        <v>30</v>
      </c>
    </row>
    <row r="29" spans="1:5" ht="17" thickBot="1" x14ac:dyDescent="0.25">
      <c r="B29" s="242" t="s">
        <v>1037</v>
      </c>
      <c r="C29" s="236" t="s">
        <v>1038</v>
      </c>
      <c r="D29" s="236" t="s">
        <v>1039</v>
      </c>
      <c r="E29" s="261">
        <v>800000</v>
      </c>
    </row>
    <row r="30" spans="1:5" ht="17" thickBot="1" x14ac:dyDescent="0.25">
      <c r="B30" s="242" t="s">
        <v>1040</v>
      </c>
      <c r="C30" s="236" t="s">
        <v>1041</v>
      </c>
      <c r="D30" s="236" t="s">
        <v>1042</v>
      </c>
      <c r="E30" s="261">
        <v>150000</v>
      </c>
    </row>
    <row r="31" spans="1:5" ht="17" thickBot="1" x14ac:dyDescent="0.25">
      <c r="B31" s="242" t="s">
        <v>1043</v>
      </c>
      <c r="C31" s="236" t="s">
        <v>1044</v>
      </c>
      <c r="D31" s="236" t="s">
        <v>1045</v>
      </c>
      <c r="E31" s="263">
        <v>2.5000000000000001E-2</v>
      </c>
    </row>
    <row r="32" spans="1:5" ht="17" thickBot="1" x14ac:dyDescent="0.25">
      <c r="B32" s="242" t="s">
        <v>1046</v>
      </c>
      <c r="C32" s="236" t="s">
        <v>1047</v>
      </c>
      <c r="D32" s="236" t="s">
        <v>1048</v>
      </c>
      <c r="E32" s="264" t="s">
        <v>10</v>
      </c>
    </row>
    <row r="33" spans="1:5" x14ac:dyDescent="0.2">
      <c r="B33" s="243"/>
      <c r="C33" s="243" t="s">
        <v>1049</v>
      </c>
    </row>
    <row r="35" spans="1:5" x14ac:dyDescent="0.2">
      <c r="A35" s="239" t="s">
        <v>1050</v>
      </c>
      <c r="B35" s="244" t="s">
        <v>1051</v>
      </c>
      <c r="C35" s="2"/>
      <c r="D35" s="2"/>
      <c r="E35" s="256" t="s">
        <v>1272</v>
      </c>
    </row>
    <row r="36" spans="1:5" ht="17" thickBot="1" x14ac:dyDescent="0.25">
      <c r="B36" s="241" t="s">
        <v>1028</v>
      </c>
      <c r="C36" s="241" t="s">
        <v>1029</v>
      </c>
      <c r="D36" s="241" t="s">
        <v>1030</v>
      </c>
      <c r="E36" s="257" t="s">
        <v>1273</v>
      </c>
    </row>
    <row r="37" spans="1:5" ht="17" thickBot="1" x14ac:dyDescent="0.25">
      <c r="B37" s="242" t="s">
        <v>1052</v>
      </c>
      <c r="C37" s="236" t="s">
        <v>1053</v>
      </c>
      <c r="D37" s="236" t="s">
        <v>1054</v>
      </c>
      <c r="E37" s="265">
        <v>1.221E-2</v>
      </c>
    </row>
    <row r="38" spans="1:5" ht="17" thickBot="1" x14ac:dyDescent="0.25">
      <c r="B38" s="242" t="s">
        <v>1055</v>
      </c>
      <c r="C38" s="236" t="s">
        <v>1056</v>
      </c>
      <c r="D38" s="236" t="s">
        <v>1057</v>
      </c>
      <c r="E38" s="266">
        <v>4.4999999999999997E-3</v>
      </c>
    </row>
    <row r="39" spans="1:5" ht="17" thickBot="1" x14ac:dyDescent="0.25">
      <c r="B39" s="242" t="s">
        <v>1058</v>
      </c>
      <c r="C39" s="236" t="s">
        <v>1059</v>
      </c>
      <c r="D39" s="236" t="s">
        <v>1060</v>
      </c>
      <c r="E39" s="263">
        <v>3.5000000000000003E-2</v>
      </c>
    </row>
    <row r="40" spans="1:5" ht="17" thickBot="1" x14ac:dyDescent="0.25">
      <c r="B40" s="242" t="s">
        <v>1061</v>
      </c>
      <c r="C40" s="236" t="s">
        <v>1062</v>
      </c>
      <c r="D40" s="236" t="s">
        <v>1063</v>
      </c>
      <c r="E40" s="263">
        <v>0.05</v>
      </c>
    </row>
    <row r="41" spans="1:5" ht="17" thickBot="1" x14ac:dyDescent="0.25">
      <c r="B41" s="242" t="s">
        <v>1064</v>
      </c>
      <c r="C41" s="236" t="s">
        <v>1065</v>
      </c>
      <c r="D41" s="236" t="s">
        <v>1066</v>
      </c>
      <c r="E41" s="264" t="s">
        <v>19</v>
      </c>
    </row>
    <row r="42" spans="1:5" x14ac:dyDescent="0.2">
      <c r="B42" s="243"/>
      <c r="C42" s="243" t="s">
        <v>1067</v>
      </c>
    </row>
    <row r="43" spans="1:5" x14ac:dyDescent="0.2">
      <c r="B43" s="243"/>
      <c r="C43" s="243" t="s">
        <v>1068</v>
      </c>
    </row>
    <row r="45" spans="1:5" x14ac:dyDescent="0.2">
      <c r="A45" s="239" t="s">
        <v>1069</v>
      </c>
      <c r="B45" s="240" t="s">
        <v>1070</v>
      </c>
      <c r="C45" s="2"/>
      <c r="D45" s="2"/>
      <c r="E45" s="256" t="s">
        <v>1272</v>
      </c>
    </row>
    <row r="46" spans="1:5" ht="17" thickBot="1" x14ac:dyDescent="0.25">
      <c r="B46" s="241" t="s">
        <v>1028</v>
      </c>
      <c r="C46" s="241" t="s">
        <v>1029</v>
      </c>
      <c r="D46" s="241" t="s">
        <v>1030</v>
      </c>
      <c r="E46" s="257" t="s">
        <v>1273</v>
      </c>
    </row>
    <row r="47" spans="1:5" ht="17" thickBot="1" x14ac:dyDescent="0.25">
      <c r="B47" s="242" t="s">
        <v>1071</v>
      </c>
      <c r="C47" s="236" t="s">
        <v>1072</v>
      </c>
      <c r="D47" s="236" t="s">
        <v>1073</v>
      </c>
      <c r="E47" s="267">
        <v>0.75</v>
      </c>
    </row>
    <row r="48" spans="1:5" ht="17" thickBot="1" x14ac:dyDescent="0.25">
      <c r="B48" s="242" t="s">
        <v>1074</v>
      </c>
      <c r="C48" s="236" t="s">
        <v>1075</v>
      </c>
      <c r="D48" s="236" t="s">
        <v>1076</v>
      </c>
      <c r="E48" s="267">
        <v>0.2</v>
      </c>
    </row>
    <row r="49" spans="1:5" ht="17" thickBot="1" x14ac:dyDescent="0.25">
      <c r="B49" s="242" t="s">
        <v>1077</v>
      </c>
      <c r="C49" s="236" t="s">
        <v>1078</v>
      </c>
      <c r="D49" s="236" t="s">
        <v>1079</v>
      </c>
      <c r="E49" s="259">
        <v>30</v>
      </c>
    </row>
    <row r="50" spans="1:5" x14ac:dyDescent="0.2">
      <c r="B50" s="243"/>
      <c r="C50" s="243" t="s">
        <v>1080</v>
      </c>
    </row>
    <row r="53" spans="1:5" x14ac:dyDescent="0.2">
      <c r="A53" s="239" t="s">
        <v>1081</v>
      </c>
      <c r="B53" s="240" t="s">
        <v>1082</v>
      </c>
      <c r="C53" s="2"/>
      <c r="D53" s="2"/>
      <c r="E53" s="256" t="s">
        <v>1272</v>
      </c>
    </row>
    <row r="54" spans="1:5" x14ac:dyDescent="0.2">
      <c r="B54" s="241" t="s">
        <v>1028</v>
      </c>
      <c r="C54" s="241" t="s">
        <v>1029</v>
      </c>
      <c r="D54" s="241" t="s">
        <v>1030</v>
      </c>
      <c r="E54" s="257" t="s">
        <v>1273</v>
      </c>
    </row>
    <row r="55" spans="1:5" x14ac:dyDescent="0.2">
      <c r="B55" s="242" t="s">
        <v>1083</v>
      </c>
      <c r="C55" s="236" t="s">
        <v>1084</v>
      </c>
      <c r="D55" s="236" t="s">
        <v>1085</v>
      </c>
      <c r="E55" s="258" t="s">
        <v>1274</v>
      </c>
    </row>
    <row r="56" spans="1:5" x14ac:dyDescent="0.2">
      <c r="B56" s="242" t="s">
        <v>1086</v>
      </c>
      <c r="C56" s="236" t="s">
        <v>1087</v>
      </c>
      <c r="D56" s="236" t="s">
        <v>1088</v>
      </c>
      <c r="E56" s="258" t="s">
        <v>1274</v>
      </c>
    </row>
    <row r="57" spans="1:5" x14ac:dyDescent="0.2">
      <c r="B57" s="242" t="s">
        <v>1089</v>
      </c>
      <c r="C57" s="236" t="s">
        <v>1090</v>
      </c>
      <c r="D57" s="236" t="s">
        <v>1091</v>
      </c>
      <c r="E57" s="258" t="s">
        <v>1274</v>
      </c>
    </row>
    <row r="58" spans="1:5" x14ac:dyDescent="0.2">
      <c r="B58" s="242" t="s">
        <v>1092</v>
      </c>
      <c r="C58" s="236" t="s">
        <v>1093</v>
      </c>
      <c r="D58" s="236" t="s">
        <v>1094</v>
      </c>
      <c r="E58" s="258" t="s">
        <v>1275</v>
      </c>
    </row>
    <row r="59" spans="1:5" x14ac:dyDescent="0.2">
      <c r="B59" s="242" t="s">
        <v>1095</v>
      </c>
      <c r="C59" s="236" t="s">
        <v>1096</v>
      </c>
      <c r="D59" s="236" t="s">
        <v>1097</v>
      </c>
      <c r="E59" s="258" t="s">
        <v>1274</v>
      </c>
    </row>
    <row r="60" spans="1:5" x14ac:dyDescent="0.2">
      <c r="B60" s="242" t="s">
        <v>1098</v>
      </c>
      <c r="C60" s="236" t="s">
        <v>1099</v>
      </c>
      <c r="D60" s="236" t="s">
        <v>1100</v>
      </c>
      <c r="E60" s="258" t="s">
        <v>1274</v>
      </c>
    </row>
    <row r="61" spans="1:5" ht="17" thickBot="1" x14ac:dyDescent="0.25">
      <c r="B61" s="242" t="s">
        <v>1101</v>
      </c>
      <c r="C61" s="236" t="s">
        <v>1102</v>
      </c>
      <c r="D61" s="236" t="s">
        <v>1103</v>
      </c>
      <c r="E61" s="258" t="s">
        <v>1274</v>
      </c>
    </row>
    <row r="62" spans="1:5" ht="17" thickBot="1" x14ac:dyDescent="0.25">
      <c r="B62" s="242" t="s">
        <v>1104</v>
      </c>
      <c r="C62" s="236" t="s">
        <v>1105</v>
      </c>
      <c r="D62" s="236" t="s">
        <v>1106</v>
      </c>
      <c r="E62" s="268" t="s">
        <v>179</v>
      </c>
    </row>
    <row r="63" spans="1:5" ht="17" thickBot="1" x14ac:dyDescent="0.25">
      <c r="B63" s="242" t="s">
        <v>1107</v>
      </c>
      <c r="C63" s="236" t="s">
        <v>1108</v>
      </c>
      <c r="D63" s="236" t="s">
        <v>1109</v>
      </c>
      <c r="E63" s="258" t="s">
        <v>1276</v>
      </c>
    </row>
    <row r="64" spans="1:5" ht="17" thickBot="1" x14ac:dyDescent="0.25">
      <c r="B64" s="242" t="s">
        <v>1110</v>
      </c>
      <c r="C64" s="236" t="s">
        <v>1111</v>
      </c>
      <c r="D64" s="236" t="s">
        <v>1112</v>
      </c>
      <c r="E64" s="262">
        <v>2.5000000000000001E-2</v>
      </c>
    </row>
    <row r="67" spans="1:5" x14ac:dyDescent="0.2">
      <c r="A67" s="239" t="s">
        <v>1113</v>
      </c>
      <c r="B67" s="244" t="s">
        <v>1114</v>
      </c>
      <c r="C67" s="2"/>
      <c r="D67" s="2"/>
      <c r="E67" s="256" t="s">
        <v>1272</v>
      </c>
    </row>
    <row r="68" spans="1:5" ht="17" thickBot="1" x14ac:dyDescent="0.25">
      <c r="B68" s="241" t="s">
        <v>1028</v>
      </c>
      <c r="C68" s="241" t="s">
        <v>1029</v>
      </c>
      <c r="D68" s="241" t="s">
        <v>1030</v>
      </c>
      <c r="E68" s="257" t="s">
        <v>1273</v>
      </c>
    </row>
    <row r="69" spans="1:5" ht="17" thickBot="1" x14ac:dyDescent="0.25">
      <c r="B69" s="242" t="s">
        <v>1115</v>
      </c>
      <c r="C69" s="236" t="s">
        <v>1116</v>
      </c>
      <c r="D69" s="236" t="s">
        <v>1117</v>
      </c>
      <c r="E69" s="263">
        <v>5.5E-2</v>
      </c>
    </row>
    <row r="70" spans="1:5" ht="17" thickBot="1" x14ac:dyDescent="0.25">
      <c r="B70" s="242" t="s">
        <v>1118</v>
      </c>
      <c r="C70" s="236" t="s">
        <v>1119</v>
      </c>
      <c r="D70" s="236" t="s">
        <v>1120</v>
      </c>
      <c r="E70" s="262">
        <v>0.09</v>
      </c>
    </row>
    <row r="71" spans="1:5" x14ac:dyDescent="0.2">
      <c r="B71" s="243"/>
      <c r="C71" s="243" t="s">
        <v>1121</v>
      </c>
    </row>
    <row r="75" spans="1:5" x14ac:dyDescent="0.2">
      <c r="A75" s="239" t="s">
        <v>1122</v>
      </c>
      <c r="B75" s="240" t="s">
        <v>1123</v>
      </c>
      <c r="C75" s="2"/>
      <c r="D75" s="2"/>
    </row>
    <row r="76" spans="1:5" x14ac:dyDescent="0.2">
      <c r="B76" s="236" t="s">
        <v>1124</v>
      </c>
    </row>
    <row r="77" spans="1:5" x14ac:dyDescent="0.2">
      <c r="B77" s="236" t="s">
        <v>1125</v>
      </c>
    </row>
    <row r="78" spans="1:5" x14ac:dyDescent="0.2">
      <c r="B78" s="236" t="s">
        <v>1126</v>
      </c>
    </row>
    <row r="79" spans="1:5" x14ac:dyDescent="0.2">
      <c r="B79" s="236" t="s">
        <v>1127</v>
      </c>
    </row>
    <row r="80" spans="1:5" x14ac:dyDescent="0.2">
      <c r="B80" s="236" t="s">
        <v>1128</v>
      </c>
    </row>
    <row r="81" spans="1:4" x14ac:dyDescent="0.2">
      <c r="B81" s="236"/>
    </row>
    <row r="82" spans="1:4" x14ac:dyDescent="0.2">
      <c r="B82" s="237" t="s">
        <v>1129</v>
      </c>
    </row>
    <row r="83" spans="1:4" x14ac:dyDescent="0.2">
      <c r="B83" s="236" t="s">
        <v>1130</v>
      </c>
    </row>
    <row r="84" spans="1:4" x14ac:dyDescent="0.2">
      <c r="B84" s="236"/>
    </row>
    <row r="86" spans="1:4" ht="18" x14ac:dyDescent="0.25">
      <c r="A86" s="4"/>
      <c r="B86" s="235" t="s">
        <v>1131</v>
      </c>
      <c r="C86" s="4"/>
      <c r="D86" s="4"/>
    </row>
    <row r="87" spans="1:4" x14ac:dyDescent="0.2">
      <c r="B87" s="236" t="s">
        <v>1132</v>
      </c>
    </row>
    <row r="88" spans="1:4" x14ac:dyDescent="0.2">
      <c r="B88" s="236"/>
    </row>
    <row r="89" spans="1:4" x14ac:dyDescent="0.2">
      <c r="B89" s="241" t="s">
        <v>1133</v>
      </c>
      <c r="C89" s="241" t="s">
        <v>1134</v>
      </c>
      <c r="D89" s="241" t="s">
        <v>1135</v>
      </c>
    </row>
    <row r="90" spans="1:4" x14ac:dyDescent="0.2">
      <c r="B90" s="237" t="s">
        <v>1136</v>
      </c>
      <c r="C90" s="236" t="s">
        <v>1137</v>
      </c>
      <c r="D90" s="236" t="s">
        <v>1138</v>
      </c>
    </row>
    <row r="91" spans="1:4" x14ac:dyDescent="0.2">
      <c r="B91" s="237" t="s">
        <v>1139</v>
      </c>
      <c r="C91" s="236" t="s">
        <v>1140</v>
      </c>
      <c r="D91" s="236" t="s">
        <v>1141</v>
      </c>
    </row>
    <row r="92" spans="1:4" x14ac:dyDescent="0.2">
      <c r="B92" s="237" t="s">
        <v>1142</v>
      </c>
      <c r="C92" s="236" t="s">
        <v>1143</v>
      </c>
      <c r="D92" s="236" t="s">
        <v>1144</v>
      </c>
    </row>
    <row r="93" spans="1:4" x14ac:dyDescent="0.2">
      <c r="B93" s="237" t="s">
        <v>1145</v>
      </c>
      <c r="C93" s="236" t="s">
        <v>1146</v>
      </c>
      <c r="D93" s="236" t="s">
        <v>1147</v>
      </c>
    </row>
    <row r="94" spans="1:4" x14ac:dyDescent="0.2">
      <c r="B94" s="237" t="s">
        <v>1148</v>
      </c>
      <c r="C94" s="236" t="s">
        <v>1149</v>
      </c>
      <c r="D94" s="236" t="s">
        <v>1150</v>
      </c>
    </row>
    <row r="95" spans="1:4" x14ac:dyDescent="0.2">
      <c r="B95" s="237" t="s">
        <v>1151</v>
      </c>
      <c r="C95" s="236" t="s">
        <v>1152</v>
      </c>
      <c r="D95" s="236" t="s">
        <v>1153</v>
      </c>
    </row>
    <row r="96" spans="1:4" x14ac:dyDescent="0.2">
      <c r="B96" s="237" t="s">
        <v>1154</v>
      </c>
      <c r="C96" s="236" t="s">
        <v>1155</v>
      </c>
      <c r="D96" s="236" t="s">
        <v>1156</v>
      </c>
    </row>
    <row r="97" spans="1:4" x14ac:dyDescent="0.2">
      <c r="B97" s="237" t="s">
        <v>1157</v>
      </c>
      <c r="C97" s="236" t="s">
        <v>1158</v>
      </c>
      <c r="D97" s="236" t="s">
        <v>1159</v>
      </c>
    </row>
    <row r="98" spans="1:4" x14ac:dyDescent="0.2">
      <c r="B98" s="237" t="s">
        <v>1160</v>
      </c>
      <c r="C98" s="236" t="s">
        <v>1161</v>
      </c>
      <c r="D98" s="236" t="s">
        <v>1162</v>
      </c>
    </row>
    <row r="102" spans="1:4" ht="18" x14ac:dyDescent="0.25">
      <c r="A102" s="4"/>
      <c r="B102" s="235" t="s">
        <v>1163</v>
      </c>
      <c r="C102" s="4"/>
      <c r="D102" s="4"/>
    </row>
    <row r="103" spans="1:4" x14ac:dyDescent="0.2">
      <c r="B103" s="245" t="s">
        <v>1028</v>
      </c>
      <c r="C103" s="245" t="s">
        <v>159</v>
      </c>
      <c r="D103" s="245" t="s">
        <v>1164</v>
      </c>
    </row>
    <row r="104" spans="1:4" x14ac:dyDescent="0.2">
      <c r="B104" s="246" t="s">
        <v>1</v>
      </c>
      <c r="C104" s="48"/>
      <c r="D104" s="48"/>
    </row>
    <row r="105" spans="1:4" x14ac:dyDescent="0.2">
      <c r="B105" s="236" t="s">
        <v>1031</v>
      </c>
      <c r="C105" s="236" t="s">
        <v>2</v>
      </c>
      <c r="D105" s="236">
        <v>32</v>
      </c>
    </row>
    <row r="106" spans="1:4" x14ac:dyDescent="0.2">
      <c r="B106" s="236" t="s">
        <v>1034</v>
      </c>
      <c r="C106" s="236" t="s">
        <v>1165</v>
      </c>
      <c r="D106" s="236">
        <v>30</v>
      </c>
    </row>
    <row r="107" spans="1:4" x14ac:dyDescent="0.2">
      <c r="B107" s="236" t="s">
        <v>1037</v>
      </c>
      <c r="C107" s="236" t="s">
        <v>270</v>
      </c>
      <c r="D107" s="247">
        <v>800000</v>
      </c>
    </row>
    <row r="108" spans="1:4" x14ac:dyDescent="0.2">
      <c r="B108" s="236" t="s">
        <v>1040</v>
      </c>
      <c r="C108" s="236" t="s">
        <v>1166</v>
      </c>
      <c r="D108" s="247">
        <v>150000</v>
      </c>
    </row>
    <row r="109" spans="1:4" x14ac:dyDescent="0.2">
      <c r="B109" s="236" t="s">
        <v>1043</v>
      </c>
      <c r="C109" s="236" t="s">
        <v>8</v>
      </c>
      <c r="D109" s="248">
        <v>2.5000000000000001E-2</v>
      </c>
    </row>
    <row r="110" spans="1:4" x14ac:dyDescent="0.2">
      <c r="B110" s="236" t="s">
        <v>1046</v>
      </c>
      <c r="C110" s="236" t="s">
        <v>1167</v>
      </c>
      <c r="D110" s="236" t="s">
        <v>10</v>
      </c>
    </row>
    <row r="111" spans="1:4" x14ac:dyDescent="0.2">
      <c r="B111" s="246" t="s">
        <v>1168</v>
      </c>
      <c r="C111" s="48"/>
      <c r="D111" s="48"/>
    </row>
    <row r="112" spans="1:4" x14ac:dyDescent="0.2">
      <c r="B112" s="236" t="s">
        <v>1052</v>
      </c>
      <c r="C112" s="236" t="s">
        <v>13</v>
      </c>
      <c r="D112" s="248">
        <v>1.221E-2</v>
      </c>
    </row>
    <row r="113" spans="2:4" x14ac:dyDescent="0.2">
      <c r="B113" s="236" t="s">
        <v>1055</v>
      </c>
      <c r="C113" s="236" t="s">
        <v>14</v>
      </c>
      <c r="D113" s="248">
        <v>4.4999999999999997E-3</v>
      </c>
    </row>
    <row r="114" spans="2:4" x14ac:dyDescent="0.2">
      <c r="B114" s="236" t="s">
        <v>1058</v>
      </c>
      <c r="C114" s="236" t="s">
        <v>16</v>
      </c>
      <c r="D114" s="248">
        <v>3.5000000000000003E-2</v>
      </c>
    </row>
    <row r="115" spans="2:4" x14ac:dyDescent="0.2">
      <c r="B115" s="236" t="s">
        <v>1061</v>
      </c>
      <c r="C115" s="236" t="s">
        <v>17</v>
      </c>
      <c r="D115" s="248">
        <v>0.05</v>
      </c>
    </row>
    <row r="116" spans="2:4" x14ac:dyDescent="0.2">
      <c r="B116" s="236" t="s">
        <v>1064</v>
      </c>
      <c r="C116" s="236" t="s">
        <v>1065</v>
      </c>
      <c r="D116" s="236" t="s">
        <v>19</v>
      </c>
    </row>
    <row r="117" spans="2:4" x14ac:dyDescent="0.2">
      <c r="B117" s="246" t="s">
        <v>1169</v>
      </c>
      <c r="C117" s="48"/>
      <c r="D117" s="48"/>
    </row>
    <row r="118" spans="2:4" x14ac:dyDescent="0.2">
      <c r="B118" s="236" t="s">
        <v>1071</v>
      </c>
      <c r="C118" s="236" t="s">
        <v>24</v>
      </c>
      <c r="D118" s="249">
        <v>0.75</v>
      </c>
    </row>
    <row r="119" spans="2:4" x14ac:dyDescent="0.2">
      <c r="B119" s="236" t="s">
        <v>1074</v>
      </c>
      <c r="C119" s="236" t="s">
        <v>1170</v>
      </c>
      <c r="D119" s="249">
        <v>0.2</v>
      </c>
    </row>
    <row r="120" spans="2:4" x14ac:dyDescent="0.2">
      <c r="B120" s="236" t="s">
        <v>1077</v>
      </c>
      <c r="C120" s="236" t="s">
        <v>29</v>
      </c>
      <c r="D120" s="236">
        <v>30</v>
      </c>
    </row>
    <row r="121" spans="2:4" x14ac:dyDescent="0.2">
      <c r="B121" s="246" t="s">
        <v>1171</v>
      </c>
      <c r="C121" s="48"/>
      <c r="D121" s="48"/>
    </row>
    <row r="122" spans="2:4" x14ac:dyDescent="0.2">
      <c r="B122" s="236" t="s">
        <v>1083</v>
      </c>
      <c r="C122" s="236" t="s">
        <v>36</v>
      </c>
      <c r="D122" s="236" t="s">
        <v>1172</v>
      </c>
    </row>
    <row r="123" spans="2:4" x14ac:dyDescent="0.2">
      <c r="B123" s="236" t="s">
        <v>1089</v>
      </c>
      <c r="C123" s="236" t="s">
        <v>38</v>
      </c>
      <c r="D123" s="236" t="s">
        <v>1173</v>
      </c>
    </row>
    <row r="124" spans="2:4" x14ac:dyDescent="0.2">
      <c r="B124" s="236" t="s">
        <v>1095</v>
      </c>
      <c r="C124" s="236" t="s">
        <v>40</v>
      </c>
      <c r="D124" s="236" t="s">
        <v>1174</v>
      </c>
    </row>
    <row r="125" spans="2:4" x14ac:dyDescent="0.2">
      <c r="B125" s="236" t="s">
        <v>1101</v>
      </c>
      <c r="C125" s="236" t="s">
        <v>1175</v>
      </c>
      <c r="D125" s="236" t="s">
        <v>1176</v>
      </c>
    </row>
    <row r="126" spans="2:4" x14ac:dyDescent="0.2">
      <c r="B126" s="246" t="s">
        <v>1177</v>
      </c>
      <c r="C126" s="48"/>
      <c r="D126" s="48"/>
    </row>
    <row r="127" spans="2:4" x14ac:dyDescent="0.2">
      <c r="B127" s="236" t="s">
        <v>1115</v>
      </c>
      <c r="C127" s="236" t="s">
        <v>50</v>
      </c>
      <c r="D127" s="248">
        <v>5.5E-2</v>
      </c>
    </row>
    <row r="128" spans="2:4" x14ac:dyDescent="0.2">
      <c r="B128" s="236" t="s">
        <v>1118</v>
      </c>
      <c r="C128" s="236" t="s">
        <v>1178</v>
      </c>
      <c r="D128" s="249">
        <v>0.09</v>
      </c>
    </row>
    <row r="131" spans="1:4" ht="18" x14ac:dyDescent="0.25">
      <c r="A131" s="4"/>
      <c r="B131" s="235" t="s">
        <v>1179</v>
      </c>
      <c r="C131" s="4"/>
      <c r="D131" s="4"/>
    </row>
    <row r="132" spans="1:4" x14ac:dyDescent="0.2">
      <c r="B132" s="241" t="s">
        <v>154</v>
      </c>
      <c r="C132" s="241" t="s">
        <v>1180</v>
      </c>
      <c r="D132" s="241" t="s">
        <v>1181</v>
      </c>
    </row>
    <row r="133" spans="1:4" x14ac:dyDescent="0.2">
      <c r="B133" s="237" t="s">
        <v>1182</v>
      </c>
      <c r="C133" s="236" t="s">
        <v>1183</v>
      </c>
      <c r="D133" s="236" t="s">
        <v>1184</v>
      </c>
    </row>
    <row r="134" spans="1:4" x14ac:dyDescent="0.2">
      <c r="B134" s="237" t="s">
        <v>1185</v>
      </c>
      <c r="C134" s="236" t="s">
        <v>1186</v>
      </c>
      <c r="D134" s="236" t="s">
        <v>1187</v>
      </c>
    </row>
    <row r="135" spans="1:4" x14ac:dyDescent="0.2">
      <c r="B135" s="237" t="s">
        <v>1188</v>
      </c>
      <c r="C135" s="236" t="s">
        <v>1189</v>
      </c>
      <c r="D135" s="236" t="s">
        <v>1190</v>
      </c>
    </row>
    <row r="136" spans="1:4" x14ac:dyDescent="0.2">
      <c r="B136" s="237" t="s">
        <v>1191</v>
      </c>
      <c r="C136" s="236" t="s">
        <v>1192</v>
      </c>
      <c r="D136" s="236" t="s">
        <v>1193</v>
      </c>
    </row>
    <row r="137" spans="1:4" x14ac:dyDescent="0.2">
      <c r="B137" s="237" t="s">
        <v>1194</v>
      </c>
      <c r="C137" s="236" t="s">
        <v>1195</v>
      </c>
      <c r="D137" s="236" t="s">
        <v>1196</v>
      </c>
    </row>
    <row r="138" spans="1:4" x14ac:dyDescent="0.2">
      <c r="B138" s="237" t="s">
        <v>1197</v>
      </c>
      <c r="C138" s="236" t="s">
        <v>1198</v>
      </c>
      <c r="D138" s="236" t="s">
        <v>1199</v>
      </c>
    </row>
    <row r="139" spans="1:4" x14ac:dyDescent="0.2">
      <c r="B139" s="237" t="s">
        <v>1200</v>
      </c>
      <c r="C139" s="236" t="s">
        <v>1201</v>
      </c>
      <c r="D139" s="236" t="s">
        <v>1202</v>
      </c>
    </row>
    <row r="140" spans="1:4" x14ac:dyDescent="0.2">
      <c r="B140" s="237" t="s">
        <v>1203</v>
      </c>
      <c r="C140" s="236" t="s">
        <v>1204</v>
      </c>
      <c r="D140" s="236" t="s">
        <v>1205</v>
      </c>
    </row>
    <row r="141" spans="1:4" x14ac:dyDescent="0.2">
      <c r="B141" s="237" t="s">
        <v>1206</v>
      </c>
      <c r="C141" s="236" t="s">
        <v>1207</v>
      </c>
      <c r="D141" s="236" t="s">
        <v>1208</v>
      </c>
    </row>
    <row r="146" spans="1:4" ht="18" x14ac:dyDescent="0.25">
      <c r="A146" s="4"/>
      <c r="B146" s="235" t="s">
        <v>1209</v>
      </c>
      <c r="C146" s="4"/>
      <c r="D146" s="4"/>
    </row>
    <row r="147" spans="1:4" x14ac:dyDescent="0.2">
      <c r="B147" s="250" t="s">
        <v>1210</v>
      </c>
    </row>
    <row r="148" spans="1:4" x14ac:dyDescent="0.2">
      <c r="B148" s="236" t="s">
        <v>1211</v>
      </c>
    </row>
    <row r="149" spans="1:4" x14ac:dyDescent="0.2">
      <c r="B149" s="236" t="s">
        <v>1212</v>
      </c>
    </row>
    <row r="150" spans="1:4" x14ac:dyDescent="0.2">
      <c r="B150" s="236" t="s">
        <v>1213</v>
      </c>
    </row>
    <row r="151" spans="1:4" x14ac:dyDescent="0.2">
      <c r="B151" s="236" t="s">
        <v>1214</v>
      </c>
    </row>
    <row r="152" spans="1:4" x14ac:dyDescent="0.2">
      <c r="B152" s="236" t="s">
        <v>1215</v>
      </c>
    </row>
    <row r="153" spans="1:4" x14ac:dyDescent="0.2">
      <c r="B153" s="236"/>
    </row>
    <row r="154" spans="1:4" x14ac:dyDescent="0.2">
      <c r="B154" s="251" t="s">
        <v>1216</v>
      </c>
    </row>
    <row r="155" spans="1:4" x14ac:dyDescent="0.2">
      <c r="B155" s="236" t="s">
        <v>1217</v>
      </c>
    </row>
    <row r="156" spans="1:4" x14ac:dyDescent="0.2">
      <c r="B156" s="236" t="s">
        <v>1218</v>
      </c>
    </row>
    <row r="157" spans="1:4" x14ac:dyDescent="0.2">
      <c r="B157" s="236" t="s">
        <v>1219</v>
      </c>
    </row>
    <row r="158" spans="1:4" x14ac:dyDescent="0.2">
      <c r="B158" s="236" t="s">
        <v>1220</v>
      </c>
    </row>
    <row r="159" spans="1:4" x14ac:dyDescent="0.2">
      <c r="B159" s="236" t="s">
        <v>1221</v>
      </c>
    </row>
    <row r="160" spans="1:4" x14ac:dyDescent="0.2">
      <c r="B160" s="236"/>
    </row>
    <row r="161" spans="1:4" x14ac:dyDescent="0.2">
      <c r="B161" s="236"/>
    </row>
    <row r="162" spans="1:4" ht="18" x14ac:dyDescent="0.25">
      <c r="A162" s="4"/>
      <c r="B162" s="235" t="s">
        <v>1222</v>
      </c>
      <c r="C162" s="4"/>
      <c r="D162" s="4"/>
    </row>
    <row r="163" spans="1:4" x14ac:dyDescent="0.2">
      <c r="B163" s="241" t="s">
        <v>1223</v>
      </c>
      <c r="C163" s="241" t="s">
        <v>1224</v>
      </c>
      <c r="D163" s="241" t="s">
        <v>1225</v>
      </c>
    </row>
    <row r="164" spans="1:4" x14ac:dyDescent="0.2">
      <c r="B164" s="242" t="s">
        <v>1226</v>
      </c>
      <c r="C164" s="236" t="s">
        <v>1227</v>
      </c>
      <c r="D164" s="252" t="s">
        <v>1228</v>
      </c>
    </row>
    <row r="165" spans="1:4" x14ac:dyDescent="0.2">
      <c r="B165" s="253" t="s">
        <v>1229</v>
      </c>
      <c r="C165" s="236" t="s">
        <v>1230</v>
      </c>
      <c r="D165" s="238" t="s">
        <v>1231</v>
      </c>
    </row>
    <row r="166" spans="1:4" x14ac:dyDescent="0.2">
      <c r="B166" s="254" t="s">
        <v>1232</v>
      </c>
      <c r="C166" s="236" t="s">
        <v>1233</v>
      </c>
      <c r="D166" s="236" t="s">
        <v>1234</v>
      </c>
    </row>
    <row r="167" spans="1:4" x14ac:dyDescent="0.2">
      <c r="B167" s="59" t="s">
        <v>1235</v>
      </c>
      <c r="C167" s="236" t="s">
        <v>1236</v>
      </c>
      <c r="D167" s="236" t="s">
        <v>1237</v>
      </c>
    </row>
    <row r="168" spans="1:4" x14ac:dyDescent="0.2">
      <c r="B168" s="255" t="s">
        <v>1238</v>
      </c>
      <c r="C168" s="236" t="s">
        <v>1239</v>
      </c>
      <c r="D168" s="236" t="s">
        <v>1240</v>
      </c>
    </row>
    <row r="171" spans="1:4" ht="18" x14ac:dyDescent="0.25">
      <c r="A171" s="4"/>
      <c r="B171" s="235" t="s">
        <v>1241</v>
      </c>
      <c r="C171" s="4"/>
      <c r="D171" s="4"/>
    </row>
    <row r="172" spans="1:4" x14ac:dyDescent="0.2">
      <c r="B172" s="236" t="s">
        <v>1242</v>
      </c>
    </row>
    <row r="173" spans="1:4" x14ac:dyDescent="0.2">
      <c r="B173" s="236" t="s">
        <v>1243</v>
      </c>
    </row>
    <row r="174" spans="1:4" x14ac:dyDescent="0.2">
      <c r="B174" s="236" t="s">
        <v>1244</v>
      </c>
    </row>
    <row r="175" spans="1:4" x14ac:dyDescent="0.2">
      <c r="B175" s="236" t="s">
        <v>1245</v>
      </c>
    </row>
    <row r="176" spans="1:4" x14ac:dyDescent="0.2">
      <c r="B176" s="236" t="s">
        <v>1246</v>
      </c>
    </row>
    <row r="177" spans="1:4" x14ac:dyDescent="0.2">
      <c r="B177" s="236" t="s">
        <v>1247</v>
      </c>
    </row>
    <row r="178" spans="1:4" x14ac:dyDescent="0.2">
      <c r="B178" s="236" t="s">
        <v>1248</v>
      </c>
    </row>
    <row r="179" spans="1:4" x14ac:dyDescent="0.2">
      <c r="B179" s="236" t="s">
        <v>1249</v>
      </c>
    </row>
    <row r="180" spans="1:4" x14ac:dyDescent="0.2">
      <c r="B180" s="236" t="s">
        <v>1250</v>
      </c>
    </row>
    <row r="181" spans="1:4" x14ac:dyDescent="0.2">
      <c r="B181" s="236" t="s">
        <v>1251</v>
      </c>
    </row>
    <row r="182" spans="1:4" x14ac:dyDescent="0.2">
      <c r="B182" s="236"/>
    </row>
    <row r="183" spans="1:4" x14ac:dyDescent="0.2">
      <c r="B183" s="236"/>
    </row>
    <row r="184" spans="1:4" x14ac:dyDescent="0.2">
      <c r="B184" s="236"/>
    </row>
    <row r="185" spans="1:4" ht="18" x14ac:dyDescent="0.25">
      <c r="A185" s="4"/>
      <c r="B185" s="235" t="s">
        <v>1252</v>
      </c>
      <c r="C185" s="4"/>
      <c r="D185" s="4"/>
    </row>
    <row r="186" spans="1:4" x14ac:dyDescent="0.2">
      <c r="B186" s="241" t="s">
        <v>1253</v>
      </c>
      <c r="C186" s="241" t="s">
        <v>1254</v>
      </c>
    </row>
    <row r="187" spans="1:4" x14ac:dyDescent="0.2">
      <c r="B187" s="237" t="s">
        <v>6</v>
      </c>
      <c r="C187" s="236" t="s">
        <v>1255</v>
      </c>
    </row>
    <row r="188" spans="1:4" x14ac:dyDescent="0.2">
      <c r="B188" s="237" t="s">
        <v>110</v>
      </c>
      <c r="C188" s="236" t="s">
        <v>1256</v>
      </c>
    </row>
    <row r="189" spans="1:4" x14ac:dyDescent="0.2">
      <c r="B189" s="237" t="s">
        <v>287</v>
      </c>
      <c r="C189" s="236" t="s">
        <v>1257</v>
      </c>
    </row>
    <row r="190" spans="1:4" x14ac:dyDescent="0.2">
      <c r="B190" s="237" t="s">
        <v>1258</v>
      </c>
      <c r="C190" s="236" t="s">
        <v>1259</v>
      </c>
    </row>
    <row r="191" spans="1:4" x14ac:dyDescent="0.2">
      <c r="B191" s="237" t="s">
        <v>1260</v>
      </c>
      <c r="C191" s="236" t="s">
        <v>1261</v>
      </c>
    </row>
    <row r="192" spans="1:4" x14ac:dyDescent="0.2">
      <c r="B192" s="237" t="s">
        <v>250</v>
      </c>
      <c r="C192" s="236" t="s">
        <v>1262</v>
      </c>
    </row>
    <row r="193" spans="2:3" x14ac:dyDescent="0.2">
      <c r="B193" s="237" t="s">
        <v>108</v>
      </c>
      <c r="C193" s="236" t="s">
        <v>1263</v>
      </c>
    </row>
    <row r="194" spans="2:3" x14ac:dyDescent="0.2">
      <c r="B194" s="237" t="s">
        <v>122</v>
      </c>
      <c r="C194" s="236" t="s">
        <v>1264</v>
      </c>
    </row>
    <row r="195" spans="2:3" x14ac:dyDescent="0.2">
      <c r="B195" s="237" t="s">
        <v>1265</v>
      </c>
      <c r="C195" s="236" t="s">
        <v>1266</v>
      </c>
    </row>
    <row r="196" spans="2:3" x14ac:dyDescent="0.2">
      <c r="B196" s="237" t="s">
        <v>125</v>
      </c>
      <c r="C196" s="236" t="s">
        <v>1267</v>
      </c>
    </row>
    <row r="197" spans="2:3" x14ac:dyDescent="0.2">
      <c r="B197" s="237" t="s">
        <v>1268</v>
      </c>
      <c r="C197" s="236" t="s">
        <v>1269</v>
      </c>
    </row>
    <row r="198" spans="2:3" x14ac:dyDescent="0.2">
      <c r="B198" s="237" t="s">
        <v>1270</v>
      </c>
      <c r="C198" s="236" t="s">
        <v>1271</v>
      </c>
    </row>
  </sheetData>
  <dataValidations count="3">
    <dataValidation type="list" allowBlank="1" showInputMessage="1" showErrorMessage="1" sqref="E32" xr:uid="{87834053-DE55-B04C-A828-2E136F74423A}">
      <formula1>"SC 1st Property,SC 2nd Property,PR"</formula1>
    </dataValidation>
    <dataValidation type="list" allowBlank="1" showInputMessage="1" showErrorMessage="1" sqref="E41" xr:uid="{2229B5D2-A5CD-7046-BA61-7C9146028F77}">
      <formula1>"Base,Stress,Severe"</formula1>
    </dataValidation>
    <dataValidation type="list" allowBlank="1" showInputMessage="1" showErrorMessage="1" sqref="E62" xr:uid="{FDF27401-A493-3240-831B-373845060200}">
      <formula1>"Owner-Occupied,Investment"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92E9-FD3C-3944-AA9B-0ACAB1DD5A26}">
  <dimension ref="A1:H55"/>
  <sheetViews>
    <sheetView topLeftCell="A8" workbookViewId="0">
      <selection activeCell="A59" sqref="A59"/>
    </sheetView>
  </sheetViews>
  <sheetFormatPr baseColWidth="10" defaultRowHeight="16" x14ac:dyDescent="0.2"/>
  <cols>
    <col min="1" max="1" width="46.6640625" customWidth="1"/>
    <col min="2" max="2" width="2.5" customWidth="1"/>
    <col min="3" max="5" width="23.33203125" customWidth="1"/>
    <col min="6" max="7" width="20.83203125" bestFit="1" customWidth="1"/>
    <col min="8" max="8" width="23.33203125" customWidth="1"/>
    <col min="9" max="9" width="21.6640625" customWidth="1"/>
  </cols>
  <sheetData>
    <row r="1" spans="1:6" ht="19" x14ac:dyDescent="0.25">
      <c r="A1" s="1" t="s">
        <v>0</v>
      </c>
      <c r="B1" s="2"/>
      <c r="C1" s="2"/>
      <c r="D1" s="2"/>
      <c r="E1" s="2"/>
      <c r="F1" s="2"/>
    </row>
    <row r="3" spans="1:6" x14ac:dyDescent="0.2">
      <c r="A3" s="3" t="s">
        <v>1</v>
      </c>
      <c r="C3" s="4"/>
      <c r="D3" s="4"/>
      <c r="E3" s="4"/>
      <c r="F3" s="4"/>
    </row>
    <row r="4" spans="1:6" x14ac:dyDescent="0.2">
      <c r="A4" t="s">
        <v>2</v>
      </c>
      <c r="C4" s="6">
        <f>'User Guide'!E27</f>
        <v>32</v>
      </c>
      <c r="D4" t="s">
        <v>3</v>
      </c>
    </row>
    <row r="5" spans="1:6" x14ac:dyDescent="0.2">
      <c r="A5" t="s">
        <v>4</v>
      </c>
      <c r="C5" s="6">
        <f>'User Guide'!E28</f>
        <v>30</v>
      </c>
      <c r="D5" t="s">
        <v>3</v>
      </c>
    </row>
    <row r="6" spans="1:6" x14ac:dyDescent="0.2">
      <c r="A6" t="s">
        <v>5</v>
      </c>
      <c r="C6" s="7">
        <f>C4+C5</f>
        <v>62</v>
      </c>
      <c r="D6" t="s">
        <v>3</v>
      </c>
    </row>
    <row r="7" spans="1:6" x14ac:dyDescent="0.2">
      <c r="A7" t="s">
        <v>6</v>
      </c>
      <c r="C7" s="8">
        <f>'User Guide'!E29</f>
        <v>800000</v>
      </c>
    </row>
    <row r="8" spans="1:6" x14ac:dyDescent="0.2">
      <c r="A8" t="s">
        <v>7</v>
      </c>
      <c r="C8" s="8">
        <f>'User Guide'!E30</f>
        <v>150000</v>
      </c>
      <c r="D8" t="s">
        <v>1277</v>
      </c>
    </row>
    <row r="9" spans="1:6" x14ac:dyDescent="0.2">
      <c r="A9" t="s">
        <v>8</v>
      </c>
      <c r="C9" s="9">
        <f>'User Guide'!E31</f>
        <v>2.5000000000000001E-2</v>
      </c>
    </row>
    <row r="10" spans="1:6" x14ac:dyDescent="0.2">
      <c r="A10" t="s">
        <v>9</v>
      </c>
      <c r="C10" s="5" t="str">
        <f>'User Guide'!E32</f>
        <v>SC 1st Property</v>
      </c>
      <c r="D10" t="s">
        <v>11</v>
      </c>
    </row>
    <row r="12" spans="1:6" x14ac:dyDescent="0.2">
      <c r="A12" s="3" t="s">
        <v>12</v>
      </c>
      <c r="C12" s="4"/>
      <c r="D12" s="4"/>
      <c r="E12" s="4"/>
      <c r="F12" s="4"/>
    </row>
    <row r="13" spans="1:6" x14ac:dyDescent="0.2">
      <c r="A13" t="s">
        <v>13</v>
      </c>
      <c r="C13" s="10">
        <f>'User Guide'!E37</f>
        <v>1.221E-2</v>
      </c>
    </row>
    <row r="14" spans="1:6" x14ac:dyDescent="0.2">
      <c r="A14" t="s">
        <v>14</v>
      </c>
      <c r="C14" s="10">
        <f>'User Guide'!E38</f>
        <v>4.4999999999999997E-3</v>
      </c>
    </row>
    <row r="15" spans="1:6" x14ac:dyDescent="0.2">
      <c r="A15" t="s">
        <v>15</v>
      </c>
      <c r="C15" s="11">
        <f>C13+C14</f>
        <v>1.6709999999999999E-2</v>
      </c>
      <c r="D15" t="s">
        <v>133</v>
      </c>
    </row>
    <row r="16" spans="1:6" x14ac:dyDescent="0.2">
      <c r="A16" t="s">
        <v>16</v>
      </c>
      <c r="C16" s="9">
        <f>'User Guide'!E39</f>
        <v>3.5000000000000003E-2</v>
      </c>
    </row>
    <row r="17" spans="1:8" x14ac:dyDescent="0.2">
      <c r="A17" t="s">
        <v>17</v>
      </c>
      <c r="C17" s="9">
        <f>'User Guide'!E40</f>
        <v>0.05</v>
      </c>
    </row>
    <row r="18" spans="1:8" x14ac:dyDescent="0.2">
      <c r="A18" t="s">
        <v>18</v>
      </c>
      <c r="C18" s="12" t="str">
        <f>'User Guide'!E41</f>
        <v>Base</v>
      </c>
      <c r="D18" t="s">
        <v>20</v>
      </c>
    </row>
    <row r="19" spans="1:8" x14ac:dyDescent="0.2">
      <c r="A19" t="s">
        <v>21</v>
      </c>
      <c r="C19" s="15">
        <f>INDEX('Scenario Tables'!C$24:C$26,MATCH(C18,'Scenario Tables'!$A$24:$A$26,0))</f>
        <v>2.5999999999999999E-2</v>
      </c>
      <c r="D19" t="s">
        <v>22</v>
      </c>
    </row>
    <row r="21" spans="1:8" x14ac:dyDescent="0.2">
      <c r="A21" s="3" t="s">
        <v>23</v>
      </c>
      <c r="C21" s="4"/>
      <c r="D21" s="4"/>
      <c r="E21" s="4"/>
      <c r="F21" s="4"/>
    </row>
    <row r="22" spans="1:8" x14ac:dyDescent="0.2">
      <c r="A22" t="s">
        <v>24</v>
      </c>
      <c r="C22" s="16">
        <f>'User Guide'!E47</f>
        <v>0.75</v>
      </c>
    </row>
    <row r="23" spans="1:8" x14ac:dyDescent="0.2">
      <c r="A23" t="s">
        <v>25</v>
      </c>
      <c r="C23" s="17">
        <f>1-C22</f>
        <v>0.25</v>
      </c>
    </row>
    <row r="24" spans="1:8" x14ac:dyDescent="0.2">
      <c r="A24" t="s">
        <v>26</v>
      </c>
      <c r="C24" s="16">
        <f>'User Guide'!E48</f>
        <v>0.2</v>
      </c>
      <c r="D24" t="s">
        <v>27</v>
      </c>
    </row>
    <row r="25" spans="1:8" x14ac:dyDescent="0.2">
      <c r="A25" t="s">
        <v>28</v>
      </c>
      <c r="C25" s="17">
        <f>C23-C24</f>
        <v>4.9999999999999989E-2</v>
      </c>
      <c r="D25" t="s">
        <v>27</v>
      </c>
    </row>
    <row r="26" spans="1:8" x14ac:dyDescent="0.2">
      <c r="A26" t="s">
        <v>29</v>
      </c>
      <c r="C26" s="6">
        <f>'User Guide'!E49</f>
        <v>30</v>
      </c>
      <c r="D26" t="s">
        <v>30</v>
      </c>
    </row>
    <row r="27" spans="1:8" x14ac:dyDescent="0.2">
      <c r="A27" t="s">
        <v>31</v>
      </c>
      <c r="C27" s="18">
        <f>1/C23</f>
        <v>4</v>
      </c>
    </row>
    <row r="29" spans="1:8" x14ac:dyDescent="0.2">
      <c r="A29" s="3" t="s">
        <v>32</v>
      </c>
      <c r="C29" s="4"/>
      <c r="D29" s="4"/>
      <c r="E29" s="4"/>
      <c r="F29" s="59" t="s">
        <v>32</v>
      </c>
      <c r="G29" s="59" t="s">
        <v>32</v>
      </c>
      <c r="H29" s="3" t="s">
        <v>32</v>
      </c>
    </row>
    <row r="30" spans="1:8" x14ac:dyDescent="0.2">
      <c r="C30" s="19" t="s">
        <v>33</v>
      </c>
      <c r="D30" s="19" t="s">
        <v>34</v>
      </c>
      <c r="E30" s="19" t="s">
        <v>35</v>
      </c>
      <c r="F30" s="60" t="s">
        <v>140</v>
      </c>
      <c r="G30" s="60" t="s">
        <v>141</v>
      </c>
      <c r="H30" s="88" t="s">
        <v>146</v>
      </c>
    </row>
    <row r="31" spans="1:8" x14ac:dyDescent="0.2">
      <c r="A31" t="s">
        <v>36</v>
      </c>
      <c r="C31" s="8">
        <v>1400000</v>
      </c>
      <c r="D31" s="8">
        <v>2500000</v>
      </c>
      <c r="E31" s="8">
        <v>3900000</v>
      </c>
      <c r="F31" s="61">
        <v>780000</v>
      </c>
      <c r="G31" s="61">
        <v>1400000</v>
      </c>
      <c r="H31" s="89">
        <v>7000000</v>
      </c>
    </row>
    <row r="32" spans="1:8" x14ac:dyDescent="0.2">
      <c r="A32" t="s">
        <v>37</v>
      </c>
      <c r="C32" s="20">
        <v>885</v>
      </c>
      <c r="D32" s="20">
        <v>1800</v>
      </c>
      <c r="E32" s="20">
        <v>2600</v>
      </c>
      <c r="F32" s="62">
        <v>650</v>
      </c>
      <c r="G32" s="62">
        <v>1200</v>
      </c>
      <c r="H32" s="90">
        <v>1556</v>
      </c>
    </row>
    <row r="33" spans="1:8" x14ac:dyDescent="0.2">
      <c r="A33" t="s">
        <v>38</v>
      </c>
      <c r="C33" s="6">
        <v>57</v>
      </c>
      <c r="D33" s="6">
        <v>93</v>
      </c>
      <c r="E33" s="13" t="s">
        <v>39</v>
      </c>
      <c r="F33" s="86">
        <v>78</v>
      </c>
      <c r="G33" s="86">
        <v>88</v>
      </c>
      <c r="H33" s="91">
        <v>999</v>
      </c>
    </row>
    <row r="34" spans="1:8" x14ac:dyDescent="0.2">
      <c r="A34" t="s">
        <v>139</v>
      </c>
      <c r="B34" s="105" t="s">
        <v>151</v>
      </c>
      <c r="C34" s="58">
        <f>INDEX('Scenario Tables'!C$5:C$8,MATCH(B34,'Scenario Tables'!$A$5:$A$8,0))</f>
        <v>0.02</v>
      </c>
      <c r="D34" s="58">
        <f>INDEX('Scenario Tables'!D$5:D$8,MATCH(B34,'Scenario Tables'!$A$5:$A$8,0))</f>
        <v>0.03</v>
      </c>
      <c r="E34" s="58">
        <f>INDEX('Scenario Tables'!E$5:E$8,MATCH(B34,'Scenario Tables'!$A$5:$A$8,0))</f>
        <v>0.04</v>
      </c>
      <c r="F34" s="87">
        <f>INDEX('Scenario Tables'!F$5:F$8,MATCH(B34,'Scenario Tables'!$A$5:$A$8,0))</f>
        <v>0.03</v>
      </c>
      <c r="G34" s="87">
        <f>INDEX('Scenario Tables'!G$5:G$8,MATCH(B34,'Scenario Tables'!$A$5:$A$8,0))</f>
        <v>0.03</v>
      </c>
      <c r="H34" s="58">
        <f>INDEX('Scenario Tables'!H$5:H$8,MATCH(B34,'Scenario Tables'!$A$5:$A$8,0))</f>
        <v>0.05</v>
      </c>
    </row>
    <row r="35" spans="1:8" x14ac:dyDescent="0.2">
      <c r="A35" t="s">
        <v>40</v>
      </c>
      <c r="C35" s="8">
        <v>4500</v>
      </c>
      <c r="D35" s="8">
        <v>5200</v>
      </c>
      <c r="E35" s="8">
        <v>8200</v>
      </c>
      <c r="F35" s="61">
        <v>4500</v>
      </c>
      <c r="G35" s="61">
        <v>4500</v>
      </c>
      <c r="H35" s="89">
        <v>15000</v>
      </c>
    </row>
    <row r="36" spans="1:8" x14ac:dyDescent="0.2">
      <c r="A36" t="s">
        <v>41</v>
      </c>
      <c r="C36" s="9">
        <v>0.02</v>
      </c>
      <c r="D36" s="9">
        <v>0.02</v>
      </c>
      <c r="E36" s="9">
        <v>0.02</v>
      </c>
      <c r="F36" s="64">
        <v>0.02</v>
      </c>
      <c r="G36" s="64">
        <v>0.02</v>
      </c>
      <c r="H36" s="92">
        <v>0.02</v>
      </c>
    </row>
    <row r="37" spans="1:8" x14ac:dyDescent="0.2">
      <c r="A37" t="s">
        <v>136</v>
      </c>
      <c r="C37" s="8">
        <v>1080</v>
      </c>
      <c r="D37" s="8">
        <v>6000</v>
      </c>
      <c r="E37" s="8">
        <v>8400</v>
      </c>
      <c r="F37" s="61">
        <v>1200</v>
      </c>
      <c r="G37" s="61">
        <v>1320</v>
      </c>
      <c r="H37" s="89">
        <v>18000</v>
      </c>
    </row>
    <row r="38" spans="1:8" x14ac:dyDescent="0.2">
      <c r="A38" t="s">
        <v>137</v>
      </c>
      <c r="C38" s="57" t="s">
        <v>138</v>
      </c>
      <c r="D38" s="57" t="s">
        <v>138</v>
      </c>
      <c r="E38" s="57" t="s">
        <v>138</v>
      </c>
      <c r="F38" s="65" t="s">
        <v>138</v>
      </c>
      <c r="G38" s="65" t="s">
        <v>138</v>
      </c>
      <c r="H38" s="93" t="s">
        <v>138</v>
      </c>
    </row>
    <row r="39" spans="1:8" x14ac:dyDescent="0.2">
      <c r="A39" s="66" t="s">
        <v>178</v>
      </c>
      <c r="C39" s="105" t="str">
        <f>'User Guide'!E62</f>
        <v>Owner-Occupied</v>
      </c>
    </row>
    <row r="40" spans="1:8" x14ac:dyDescent="0.2">
      <c r="A40" s="66" t="s">
        <v>180</v>
      </c>
      <c r="C40" s="64">
        <v>8.3299999999999999E-2</v>
      </c>
      <c r="D40" s="66" t="s">
        <v>181</v>
      </c>
    </row>
    <row r="41" spans="1:8" x14ac:dyDescent="0.2">
      <c r="A41" s="66" t="s">
        <v>182</v>
      </c>
      <c r="C41" s="64">
        <v>0.1</v>
      </c>
      <c r="D41" s="66" t="s">
        <v>181</v>
      </c>
    </row>
    <row r="42" spans="1:8" x14ac:dyDescent="0.2">
      <c r="A42" s="66" t="s">
        <v>183</v>
      </c>
      <c r="C42" s="64">
        <v>0.15</v>
      </c>
      <c r="D42" s="66" t="s">
        <v>181</v>
      </c>
    </row>
    <row r="43" spans="1:8" x14ac:dyDescent="0.2">
      <c r="A43" s="66" t="s">
        <v>187</v>
      </c>
      <c r="C43" s="64">
        <f>'User Guide'!E64</f>
        <v>2.5000000000000001E-2</v>
      </c>
      <c r="D43" s="66" t="s">
        <v>188</v>
      </c>
    </row>
    <row r="44" spans="1:8" x14ac:dyDescent="0.2">
      <c r="F44" s="66"/>
      <c r="G44" s="66"/>
    </row>
    <row r="45" spans="1:8" x14ac:dyDescent="0.2">
      <c r="A45" s="3" t="s">
        <v>42</v>
      </c>
      <c r="C45" s="4"/>
      <c r="D45" s="4"/>
      <c r="E45" s="4"/>
      <c r="F45" s="59"/>
      <c r="G45" s="59"/>
      <c r="H45" s="59"/>
    </row>
    <row r="46" spans="1:8" x14ac:dyDescent="0.2">
      <c r="A46" t="s">
        <v>43</v>
      </c>
      <c r="C46" s="21">
        <f t="shared" ref="C46:H46" si="0">IF(C31&lt;=180000,C31*0.01,IF(C31&lt;=360000,180000*0.01+(C31-180000)*0.02,IF(C31&lt;=640000,180000*0.01+180000*0.02+(C31-360000)*0.03,IF(C31&lt;=1000000,180000*0.01+180000*0.02+280000*0.03+(C31-640000)*0.04,IF(C31&lt;=1500000,180000*0.01+180000*0.02+280000*0.03+360000*0.04+(C31-1000000)*0.05,180000*0.01+180000*0.02+280000*0.03+360000*0.04+500000*0.05+(C31-1500000)*0.06)))))</f>
        <v>48200</v>
      </c>
      <c r="D46" s="21">
        <f t="shared" si="0"/>
        <v>113200</v>
      </c>
      <c r="E46" s="21">
        <f t="shared" si="0"/>
        <v>197200</v>
      </c>
      <c r="F46" s="66">
        <f t="shared" si="0"/>
        <v>19400</v>
      </c>
      <c r="G46" s="68">
        <f t="shared" si="0"/>
        <v>48200</v>
      </c>
      <c r="H46" s="68">
        <f t="shared" si="0"/>
        <v>383200</v>
      </c>
    </row>
    <row r="47" spans="1:8" x14ac:dyDescent="0.2">
      <c r="A47" t="s">
        <v>44</v>
      </c>
      <c r="C47" s="17">
        <f>INDEX('Scenario Tables'!C$18:C$20,MATCH(C10,'Scenario Tables'!$A$18:$A$20,0))</f>
        <v>0</v>
      </c>
      <c r="D47">
        <f>C47</f>
        <v>0</v>
      </c>
      <c r="E47">
        <f>C47</f>
        <v>0</v>
      </c>
      <c r="F47" s="66">
        <f>C47</f>
        <v>0</v>
      </c>
      <c r="G47" s="66">
        <f>C47</f>
        <v>0</v>
      </c>
      <c r="H47" s="94">
        <f>C47</f>
        <v>0</v>
      </c>
    </row>
    <row r="48" spans="1:8" x14ac:dyDescent="0.2">
      <c r="A48" t="s">
        <v>45</v>
      </c>
      <c r="C48" s="21">
        <f t="shared" ref="C48:H48" si="1">C47*C31</f>
        <v>0</v>
      </c>
      <c r="D48" s="21">
        <f t="shared" si="1"/>
        <v>0</v>
      </c>
      <c r="E48" s="21">
        <f t="shared" si="1"/>
        <v>0</v>
      </c>
      <c r="F48" s="68">
        <f t="shared" si="1"/>
        <v>0</v>
      </c>
      <c r="G48" s="68">
        <f t="shared" si="1"/>
        <v>0</v>
      </c>
      <c r="H48" s="68">
        <f t="shared" si="1"/>
        <v>0</v>
      </c>
    </row>
    <row r="49" spans="1:8" x14ac:dyDescent="0.2">
      <c r="A49" t="s">
        <v>46</v>
      </c>
      <c r="C49" s="21">
        <f t="shared" ref="C49:H49" si="2">C31*0.01</f>
        <v>14000</v>
      </c>
      <c r="D49" s="21">
        <f t="shared" si="2"/>
        <v>25000</v>
      </c>
      <c r="E49" s="21">
        <f t="shared" si="2"/>
        <v>39000</v>
      </c>
      <c r="F49" s="69">
        <f t="shared" si="2"/>
        <v>7800</v>
      </c>
      <c r="G49" s="69">
        <f t="shared" si="2"/>
        <v>14000</v>
      </c>
      <c r="H49" s="68">
        <f t="shared" si="2"/>
        <v>70000</v>
      </c>
    </row>
    <row r="50" spans="1:8" x14ac:dyDescent="0.2">
      <c r="A50" t="s">
        <v>47</v>
      </c>
      <c r="C50" s="16">
        <v>0.01</v>
      </c>
      <c r="D50" s="16">
        <v>0.01</v>
      </c>
      <c r="E50" s="16">
        <v>0.01</v>
      </c>
      <c r="F50" s="70">
        <v>0.01</v>
      </c>
      <c r="G50" s="70">
        <v>0.01</v>
      </c>
      <c r="H50" s="70">
        <v>0.01</v>
      </c>
    </row>
    <row r="51" spans="1:8" x14ac:dyDescent="0.2">
      <c r="A51" t="s">
        <v>48</v>
      </c>
      <c r="C51" s="22">
        <f t="shared" ref="C51:H51" si="3">C46+C48+C49</f>
        <v>62200</v>
      </c>
      <c r="D51" s="22">
        <f t="shared" si="3"/>
        <v>138200</v>
      </c>
      <c r="E51" s="22">
        <f t="shared" si="3"/>
        <v>236200</v>
      </c>
      <c r="F51" s="75">
        <f t="shared" si="3"/>
        <v>27200</v>
      </c>
      <c r="G51" s="75">
        <f t="shared" si="3"/>
        <v>62200</v>
      </c>
      <c r="H51" s="75">
        <f t="shared" si="3"/>
        <v>453200</v>
      </c>
    </row>
    <row r="52" spans="1:8" x14ac:dyDescent="0.2">
      <c r="H52" s="103"/>
    </row>
    <row r="53" spans="1:8" x14ac:dyDescent="0.2">
      <c r="A53" s="3" t="s">
        <v>49</v>
      </c>
      <c r="C53" s="4"/>
      <c r="D53" s="4"/>
      <c r="E53" s="4"/>
      <c r="F53" s="4"/>
      <c r="G53" s="59"/>
      <c r="H53" s="59"/>
    </row>
    <row r="54" spans="1:8" x14ac:dyDescent="0.2">
      <c r="A54" t="s">
        <v>50</v>
      </c>
      <c r="C54" s="9">
        <f>'User Guide'!E69</f>
        <v>5.5E-2</v>
      </c>
    </row>
    <row r="55" spans="1:8" x14ac:dyDescent="0.2">
      <c r="A55" t="s">
        <v>51</v>
      </c>
      <c r="C55" s="9">
        <f>'User Guide'!E70</f>
        <v>0.09</v>
      </c>
      <c r="D55" t="s">
        <v>52</v>
      </c>
    </row>
  </sheetData>
  <dataValidations count="5">
    <dataValidation type="list" allowBlank="1" showInputMessage="1" showErrorMessage="1" sqref="C10" xr:uid="{0C51A812-C908-A44C-8A14-F28D7D7BA5B8}">
      <formula1>"SC 1st Property,SC 2nd Property,PR"</formula1>
    </dataValidation>
    <dataValidation type="list" allowBlank="1" showInputMessage="1" showErrorMessage="1" sqref="C18" xr:uid="{BA738D4C-A231-D64F-8C32-C51FF4DFDD23}">
      <formula1>"Base,Stress,Severe"</formula1>
    </dataValidation>
    <dataValidation type="list" allowBlank="1" showInputMessage="1" showErrorMessage="1" errorTitle="Invalid Selection" error="Please select Pessimistic, Base, or Optimistic" promptTitle="Land Appreciation Scenario" prompt="Pessimistic = 1.0% p.a. (cooling measures, oversupply)_x000a_Base = 2.5% p.a. (long-run SG avg)_x000a_Optimistic = 4.0% p.a. (supply crunch, strong demand)" sqref="D34" xr:uid="{F2A6FF67-17CA-5948-9230-FE4DC192A30A}">
      <formula1>"Pessimistic,Base,Optimistic"</formula1>
    </dataValidation>
    <dataValidation type="list" allowBlank="1" showInputMessage="1" showErrorMessage="1" sqref="B34" xr:uid="{02557023-C475-6E45-ACE6-FF6D6DB3B78F}">
      <formula1>"Pessimistic,Base,Optimistic,Custom"</formula1>
    </dataValidation>
    <dataValidation type="list" allowBlank="1" showInputMessage="1" showErrorMessage="1" errorTitle="Invalid Entry" error="Please select 'Owner-Occupied' or 'Investment'" sqref="C39" xr:uid="{37B931D1-F875-9248-B358-A70AD46ADD42}">
      <formula1>"Owner-Occupied,Investment"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DCA1-6572-DE41-A4F0-35F05FFCBA3B}">
  <dimension ref="A1:T124"/>
  <sheetViews>
    <sheetView topLeftCell="A22" workbookViewId="0">
      <selection activeCell="C6" sqref="C6"/>
    </sheetView>
  </sheetViews>
  <sheetFormatPr baseColWidth="10" defaultRowHeight="16" outlineLevelCol="1" x14ac:dyDescent="0.2"/>
  <cols>
    <col min="1" max="1" width="33.33203125" customWidth="1"/>
    <col min="2" max="2" width="20" customWidth="1"/>
    <col min="3" max="9" width="21.6640625" customWidth="1"/>
    <col min="11" max="19" width="0" hidden="1" customWidth="1" outlineLevel="1"/>
    <col min="20" max="20" width="10.83203125" collapsed="1"/>
  </cols>
  <sheetData>
    <row r="1" spans="1:9" ht="22" x14ac:dyDescent="0.3">
      <c r="A1" s="41" t="s">
        <v>112</v>
      </c>
      <c r="B1" s="4"/>
      <c r="C1" s="4"/>
      <c r="D1" s="4"/>
      <c r="E1" s="4"/>
      <c r="F1" s="4"/>
      <c r="G1" s="4"/>
      <c r="H1" s="4"/>
      <c r="I1" s="4"/>
    </row>
    <row r="3" spans="1:9" x14ac:dyDescent="0.2">
      <c r="A3" s="23" t="s">
        <v>113</v>
      </c>
      <c r="B3" s="4"/>
      <c r="C3" s="4"/>
      <c r="D3" s="4"/>
      <c r="E3" s="4"/>
      <c r="F3" s="4"/>
      <c r="G3" s="4"/>
      <c r="H3" s="4"/>
      <c r="I3" s="4"/>
    </row>
    <row r="4" spans="1:9" x14ac:dyDescent="0.2">
      <c r="A4" t="s">
        <v>9</v>
      </c>
      <c r="C4" s="14" t="str">
        <f>Assumptions!C10</f>
        <v>SC 1st Property</v>
      </c>
      <c r="D4" s="14"/>
      <c r="E4" s="14"/>
      <c r="G4" t="s">
        <v>114</v>
      </c>
      <c r="I4" s="14" t="str">
        <f>Assumptions!C18</f>
        <v>Base</v>
      </c>
    </row>
    <row r="5" spans="1:9" x14ac:dyDescent="0.2">
      <c r="A5" t="s">
        <v>21</v>
      </c>
      <c r="C5" s="42">
        <f>Assumptions!C19</f>
        <v>2.5999999999999999E-2</v>
      </c>
      <c r="D5" s="42"/>
      <c r="E5" s="42"/>
      <c r="G5" t="s">
        <v>115</v>
      </c>
      <c r="I5" s="43">
        <f>Assumptions!C26</f>
        <v>30</v>
      </c>
    </row>
    <row r="6" spans="1:9" x14ac:dyDescent="0.2">
      <c r="A6" t="s">
        <v>116</v>
      </c>
      <c r="C6" s="22">
        <f>Assumptions!C7</f>
        <v>800000</v>
      </c>
      <c r="D6" s="22"/>
      <c r="E6" s="22"/>
      <c r="G6" t="s">
        <v>4</v>
      </c>
      <c r="I6" s="44">
        <f>Assumptions!C5</f>
        <v>30</v>
      </c>
    </row>
    <row r="7" spans="1:9" x14ac:dyDescent="0.2">
      <c r="A7" t="s">
        <v>117</v>
      </c>
      <c r="C7" s="45">
        <f>Assumptions!C54</f>
        <v>5.5E-2</v>
      </c>
      <c r="D7" s="45"/>
      <c r="E7" s="45"/>
    </row>
    <row r="9" spans="1:9" x14ac:dyDescent="0.2">
      <c r="A9" s="23" t="s">
        <v>118</v>
      </c>
      <c r="B9" s="4"/>
      <c r="C9" s="4"/>
      <c r="D9" s="4"/>
      <c r="E9" s="4"/>
      <c r="F9" s="4"/>
      <c r="G9" s="4"/>
      <c r="H9" s="4"/>
      <c r="I9" s="67"/>
    </row>
    <row r="10" spans="1:9" x14ac:dyDescent="0.2">
      <c r="C10" s="46" t="s">
        <v>33</v>
      </c>
      <c r="D10" s="76" t="s">
        <v>140</v>
      </c>
      <c r="E10" s="76" t="s">
        <v>141</v>
      </c>
      <c r="F10" s="46" t="s">
        <v>34</v>
      </c>
      <c r="G10" s="46" t="s">
        <v>35</v>
      </c>
      <c r="H10" s="46" t="s">
        <v>106</v>
      </c>
      <c r="I10" s="76" t="s">
        <v>149</v>
      </c>
    </row>
    <row r="11" spans="1:9" x14ac:dyDescent="0.2">
      <c r="A11" s="47" t="s">
        <v>119</v>
      </c>
      <c r="C11" s="48"/>
      <c r="D11" s="48"/>
      <c r="E11" s="48"/>
      <c r="F11" s="48"/>
      <c r="G11" s="48"/>
      <c r="H11" s="48"/>
      <c r="I11" s="97"/>
    </row>
    <row r="12" spans="1:9" x14ac:dyDescent="0.2">
      <c r="A12" t="s">
        <v>36</v>
      </c>
      <c r="C12" s="21">
        <f>'HDB 1984'!C4</f>
        <v>1400000</v>
      </c>
      <c r="D12" s="21">
        <f>'HDB 2005'!C4</f>
        <v>780000</v>
      </c>
      <c r="E12" s="21">
        <f>'HDB 2015'!C4</f>
        <v>1400000</v>
      </c>
      <c r="F12" s="21">
        <f>'Condo 99LH'!C4</f>
        <v>2500000</v>
      </c>
      <c r="G12" s="21">
        <f>'FH Condo'!C4</f>
        <v>3900000</v>
      </c>
      <c r="H12" s="29" t="s">
        <v>80</v>
      </c>
      <c r="I12" s="68">
        <f>'FH Landed (Prime)'!C4</f>
        <v>7000000</v>
      </c>
    </row>
    <row r="13" spans="1:9" x14ac:dyDescent="0.2">
      <c r="A13" t="s">
        <v>62</v>
      </c>
      <c r="C13" s="21">
        <f>'HDB 1984'!C9</f>
        <v>262200</v>
      </c>
      <c r="D13" s="21">
        <f>'HDB 2005'!C9</f>
        <v>72200</v>
      </c>
      <c r="E13" s="21">
        <f>'HDB 2015'!C9</f>
        <v>262200</v>
      </c>
      <c r="F13" s="21">
        <f>'Condo 99LH'!C9</f>
        <v>613200</v>
      </c>
      <c r="G13" s="21">
        <f>'FH Condo'!C9</f>
        <v>1061200</v>
      </c>
      <c r="H13" s="29" t="s">
        <v>80</v>
      </c>
      <c r="I13" s="68">
        <f>'FH Landed (Prime)'!C9</f>
        <v>2053200</v>
      </c>
    </row>
    <row r="14" spans="1:9" x14ac:dyDescent="0.2">
      <c r="A14" t="s">
        <v>63</v>
      </c>
      <c r="C14" s="21">
        <f>'HDB 1984'!C10</f>
        <v>412200</v>
      </c>
      <c r="D14" s="21">
        <f>'HDB 2005'!C10</f>
        <v>222200</v>
      </c>
      <c r="E14" s="21">
        <f>'HDB 2015'!C10</f>
        <v>412200</v>
      </c>
      <c r="F14" s="21">
        <f>'Condo 99LH'!C10</f>
        <v>763200</v>
      </c>
      <c r="G14" s="21">
        <f>'FH Condo'!C10</f>
        <v>1211200</v>
      </c>
      <c r="H14" s="29" t="s">
        <v>80</v>
      </c>
      <c r="I14" s="68">
        <f>'FH Landed (Prime)'!C10</f>
        <v>2203200</v>
      </c>
    </row>
    <row r="15" spans="1:9" x14ac:dyDescent="0.2">
      <c r="A15" s="47" t="s">
        <v>120</v>
      </c>
      <c r="C15" s="48"/>
      <c r="D15" s="48"/>
      <c r="E15" s="48"/>
      <c r="F15" s="48"/>
      <c r="G15" s="48"/>
      <c r="H15" s="48"/>
      <c r="I15" s="97"/>
    </row>
    <row r="16" spans="1:9" x14ac:dyDescent="0.2">
      <c r="A16" t="s">
        <v>121</v>
      </c>
      <c r="C16" s="21">
        <f>'HDB 1984'!F35</f>
        <v>1508236.6069180297</v>
      </c>
      <c r="D16" s="21">
        <f>'HDB 2005'!F35</f>
        <v>1167366.8317791675</v>
      </c>
      <c r="E16" s="21">
        <f>'HDB 2015'!F35</f>
        <v>2167333.4816032979</v>
      </c>
      <c r="F16" s="21">
        <f>'Condo 99LH'!F35</f>
        <v>3902861.0588258612</v>
      </c>
      <c r="G16" s="21">
        <f>'FH Condo'!F35</f>
        <v>8545380.2578303441</v>
      </c>
      <c r="H16" s="29" t="s">
        <v>80</v>
      </c>
      <c r="I16" s="68">
        <f>'FH Landed (Prime)'!F35</f>
        <v>18573083.936010949</v>
      </c>
    </row>
    <row r="17" spans="1:9" x14ac:dyDescent="0.2">
      <c r="A17" t="s">
        <v>108</v>
      </c>
      <c r="C17" s="21">
        <f>'HDB 1984'!Q35</f>
        <v>872887.86638471275</v>
      </c>
      <c r="D17" s="21">
        <f>'HDB 2005'!Q35</f>
        <v>728542.06355773844</v>
      </c>
      <c r="E17" s="21">
        <f>'HDB 2015'!Q35</f>
        <v>1531984.7410699809</v>
      </c>
      <c r="F17" s="21">
        <f>'Condo 99LH'!Q35</f>
        <v>2979508.9499594648</v>
      </c>
      <c r="G17" s="21">
        <f>'FH Condo'!Q35</f>
        <v>7212238.5299675521</v>
      </c>
      <c r="H17" s="29" t="s">
        <v>80</v>
      </c>
      <c r="I17" s="68">
        <f>'FH Landed (Prime)'!Q35</f>
        <v>16332550.908941854</v>
      </c>
    </row>
    <row r="18" spans="1:9" x14ac:dyDescent="0.2">
      <c r="A18" t="s">
        <v>122</v>
      </c>
      <c r="C18" s="21">
        <f>'Opportunity Cost'!C34</f>
        <v>-189685.74071183093</v>
      </c>
      <c r="D18" s="21">
        <f>'Opportunity Cost'!G34</f>
        <v>1143610.0009875181</v>
      </c>
      <c r="E18" s="21">
        <f>'Opportunity Cost'!H34</f>
        <v>-189685.74071183093</v>
      </c>
      <c r="F18" s="21">
        <f>'Opportunity Cost'!D34</f>
        <v>-2227400.2233042535</v>
      </c>
      <c r="G18" s="21">
        <f>'Opportunity Cost'!E34</f>
        <v>-5087120.4797223806</v>
      </c>
      <c r="H18" s="21">
        <f>'Opportunity Cost'!F34</f>
        <v>2334205.9924832713</v>
      </c>
      <c r="I18" s="68">
        <f>'Opportunity Cost'!I34</f>
        <v>-11419358.190362517</v>
      </c>
    </row>
    <row r="19" spans="1:9" ht="19" x14ac:dyDescent="0.25">
      <c r="A19" s="37" t="s">
        <v>109</v>
      </c>
      <c r="C19" s="38">
        <f>C18+C17</f>
        <v>683202.12567288184</v>
      </c>
      <c r="D19" s="74">
        <f>D18+D17</f>
        <v>1872152.0645452566</v>
      </c>
      <c r="E19" s="74">
        <f>E18+E17</f>
        <v>1342299.0003581499</v>
      </c>
      <c r="F19" s="38">
        <f>F18+F17</f>
        <v>752108.7266552113</v>
      </c>
      <c r="G19" s="38">
        <f>G18+G17</f>
        <v>2125118.0502451714</v>
      </c>
      <c r="H19" s="38">
        <f>H18</f>
        <v>2334205.9924832713</v>
      </c>
      <c r="I19" s="74">
        <f>I18+I17</f>
        <v>4913192.718579337</v>
      </c>
    </row>
    <row r="20" spans="1:9" x14ac:dyDescent="0.2">
      <c r="A20" s="47" t="s">
        <v>123</v>
      </c>
      <c r="C20" s="48"/>
      <c r="D20" s="48"/>
      <c r="E20" s="48"/>
      <c r="F20" s="48"/>
      <c r="G20" s="48"/>
      <c r="H20" s="48"/>
      <c r="I20" s="97"/>
    </row>
    <row r="21" spans="1:9" x14ac:dyDescent="0.2">
      <c r="A21" t="s">
        <v>111</v>
      </c>
      <c r="C21" s="49">
        <f>'Opportunity Cost'!C42</f>
        <v>-7.8599961006461383E-3</v>
      </c>
      <c r="D21" s="49">
        <f>'Opportunity Cost'!G42</f>
        <v>4.3428168267881428E-2</v>
      </c>
      <c r="E21" s="49">
        <f>'Opportunity Cost'!H42</f>
        <v>2.6214068097143883E-2</v>
      </c>
      <c r="F21" s="49">
        <f>'Opportunity Cost'!D42</f>
        <v>-3.0817830702102311E-3</v>
      </c>
      <c r="G21" s="49">
        <f>'Opportunity Cost'!E42</f>
        <v>5.0061301934732683E-2</v>
      </c>
      <c r="H21" s="49">
        <f>'Opportunity Cost'!F42</f>
        <v>5.4999999999999938E-2</v>
      </c>
      <c r="I21" s="99">
        <f>'Opportunity Cost'!I42</f>
        <v>9.4998919488191946E-2</v>
      </c>
    </row>
    <row r="22" spans="1:9" x14ac:dyDescent="0.2">
      <c r="A22" s="13" t="s">
        <v>110</v>
      </c>
      <c r="C22" s="39">
        <f>C19-H19</f>
        <v>-1651003.8668103893</v>
      </c>
      <c r="D22" s="39">
        <f>D19-H19</f>
        <v>-462053.92793801473</v>
      </c>
      <c r="E22" s="39">
        <f>E19-H19</f>
        <v>-991906.99212512141</v>
      </c>
      <c r="F22" s="39">
        <f>F19-H19</f>
        <v>-1582097.26582806</v>
      </c>
      <c r="G22" s="39">
        <f>G19-H19</f>
        <v>-209087.94223809987</v>
      </c>
      <c r="H22" s="29" t="s">
        <v>80</v>
      </c>
      <c r="I22" s="75">
        <f>I19-H19</f>
        <v>2578986.7260960657</v>
      </c>
    </row>
    <row r="23" spans="1:9" x14ac:dyDescent="0.2">
      <c r="A23" t="s">
        <v>124</v>
      </c>
      <c r="C23" s="49">
        <f>'HDB 1984'!I40</f>
        <v>4.8579418233316796E-2</v>
      </c>
      <c r="D23" s="49">
        <f>'HDB 2005'!I40</f>
        <v>7.3631353729964877E-2</v>
      </c>
      <c r="E23" s="49">
        <f>'HDB 2015'!I40</f>
        <v>7.4152745492967576E-2</v>
      </c>
      <c r="F23" s="49">
        <f>'Condo 99LH'!I40</f>
        <v>7.3812702070754632E-2</v>
      </c>
      <c r="G23" s="49">
        <f>'FH Condo'!I40</f>
        <v>9.4742578339837902E-2</v>
      </c>
      <c r="H23" s="29" t="s">
        <v>80</v>
      </c>
      <c r="I23" s="99">
        <f>'FH Landed (Prime)'!I40</f>
        <v>0.10599519882779429</v>
      </c>
    </row>
    <row r="24" spans="1:9" x14ac:dyDescent="0.2">
      <c r="A24" t="s">
        <v>125</v>
      </c>
      <c r="C24" s="30">
        <f>'HDB 1984'!I41</f>
        <v>2</v>
      </c>
      <c r="D24" s="77">
        <f>'HDB 2005'!I41</f>
        <v>1</v>
      </c>
      <c r="E24" s="77">
        <f>'HDB 2015'!I41</f>
        <v>2</v>
      </c>
      <c r="F24" s="30">
        <f>'Condo 99LH'!I41</f>
        <v>2</v>
      </c>
      <c r="G24" s="30">
        <f>'FH Condo'!I41</f>
        <v>2</v>
      </c>
      <c r="H24" s="29" t="s">
        <v>80</v>
      </c>
      <c r="I24" s="100">
        <f>'FH Landed (Prime)'!I41</f>
        <v>1</v>
      </c>
    </row>
    <row r="25" spans="1:9" x14ac:dyDescent="0.2">
      <c r="I25" s="66"/>
    </row>
    <row r="26" spans="1:9" x14ac:dyDescent="0.2">
      <c r="A26" s="23" t="s">
        <v>126</v>
      </c>
      <c r="B26" s="4"/>
      <c r="C26" s="4"/>
      <c r="D26" s="4"/>
      <c r="E26" s="4"/>
      <c r="F26" s="4"/>
      <c r="G26" s="4"/>
      <c r="H26" s="4"/>
      <c r="I26" s="67"/>
    </row>
    <row r="27" spans="1:9" x14ac:dyDescent="0.2">
      <c r="C27" s="46" t="s">
        <v>33</v>
      </c>
      <c r="D27" s="76" t="s">
        <v>140</v>
      </c>
      <c r="E27" s="76" t="s">
        <v>141</v>
      </c>
      <c r="F27" s="46" t="s">
        <v>34</v>
      </c>
      <c r="G27" s="46" t="s">
        <v>35</v>
      </c>
      <c r="I27" s="76" t="s">
        <v>149</v>
      </c>
    </row>
    <row r="28" spans="1:9" x14ac:dyDescent="0.2">
      <c r="A28" t="s">
        <v>127</v>
      </c>
      <c r="C28" s="50">
        <f>'HDB 1984'!C15</f>
        <v>57</v>
      </c>
      <c r="D28" s="78">
        <f>'HDB 2005'!C15</f>
        <v>78</v>
      </c>
      <c r="E28" s="78">
        <f>'HDB 2015'!C15</f>
        <v>88</v>
      </c>
      <c r="F28" s="50">
        <f>'Condo 99LH'!C15</f>
        <v>93</v>
      </c>
      <c r="G28" s="29" t="s">
        <v>39</v>
      </c>
      <c r="I28" s="98" t="s">
        <v>39</v>
      </c>
    </row>
    <row r="29" spans="1:9" x14ac:dyDescent="0.2">
      <c r="A29" t="s">
        <v>128</v>
      </c>
      <c r="C29" s="50">
        <f>'HDB 1984'!C35</f>
        <v>37</v>
      </c>
      <c r="D29" s="78">
        <f>'HDB 2005'!C35</f>
        <v>58</v>
      </c>
      <c r="E29" s="78">
        <f>'HDB 2015'!C35</f>
        <v>68</v>
      </c>
      <c r="F29" s="50">
        <f>'Condo 99LH'!C35</f>
        <v>73</v>
      </c>
      <c r="G29" s="29" t="s">
        <v>39</v>
      </c>
      <c r="I29" s="98" t="s">
        <v>39</v>
      </c>
    </row>
    <row r="30" spans="1:9" x14ac:dyDescent="0.2">
      <c r="A30" t="s">
        <v>129</v>
      </c>
      <c r="C30" s="31">
        <f>'HDB 1984'!D15</f>
        <v>0.64</v>
      </c>
      <c r="D30" s="79">
        <f>'HDB 2005'!D15</f>
        <v>0.78200000000000003</v>
      </c>
      <c r="E30" s="79">
        <f>'HDB 2015'!D15</f>
        <v>0.84</v>
      </c>
      <c r="F30" s="31">
        <f>'Condo 99LH'!D15</f>
        <v>0.87</v>
      </c>
      <c r="G30" s="51">
        <v>1</v>
      </c>
      <c r="I30" s="82">
        <v>1</v>
      </c>
    </row>
    <row r="31" spans="1:9" x14ac:dyDescent="0.2">
      <c r="A31" s="29" t="s">
        <v>130</v>
      </c>
      <c r="C31" s="31">
        <f>'HDB 1984'!D35</f>
        <v>0.46400000000000002</v>
      </c>
      <c r="D31" s="79">
        <f>'HDB 2005'!D35</f>
        <v>0.64800000000000002</v>
      </c>
      <c r="E31" s="79">
        <f>'HDB 2015'!D35</f>
        <v>0.72</v>
      </c>
      <c r="F31" s="31">
        <f>'Condo 99LH'!D35</f>
        <v>0.752</v>
      </c>
      <c r="G31" s="51">
        <v>1</v>
      </c>
      <c r="I31" s="82">
        <v>1</v>
      </c>
    </row>
    <row r="32" spans="1:9" x14ac:dyDescent="0.2">
      <c r="A32" s="13" t="s">
        <v>131</v>
      </c>
      <c r="C32" s="52">
        <f>'HDB 1984'!D15-'HDB 1984'!D35</f>
        <v>0.17599999999999999</v>
      </c>
      <c r="D32" s="80">
        <f>'HDB 2005'!D15-'HDB 2005'!D35</f>
        <v>0.13400000000000001</v>
      </c>
      <c r="E32" s="80">
        <f>'HDB 2015'!D15-'HDB 2015'!D35</f>
        <v>0.12</v>
      </c>
      <c r="F32" s="52">
        <f>'Condo 99LH'!D15-'Condo 99LH'!D35</f>
        <v>0.11799999999999999</v>
      </c>
      <c r="G32" s="53">
        <v>0</v>
      </c>
      <c r="I32" s="80">
        <v>0</v>
      </c>
    </row>
    <row r="33" spans="1:19" x14ac:dyDescent="0.2">
      <c r="A33" s="13" t="s">
        <v>132</v>
      </c>
      <c r="C33" s="54">
        <f>'HDB 1984'!E35*('HDB 1984'!D15-'HDB 1984'!D35)</f>
        <v>572089.74745166639</v>
      </c>
      <c r="D33" s="81">
        <f>'HDB 2005'!E35*('HDB 2005'!D15-'HDB 2005'!D35)</f>
        <v>241399.931262976</v>
      </c>
      <c r="E33" s="81">
        <f>'HDB 2015'!E35*('HDB 2015'!D15-'HDB 2015'!D35)</f>
        <v>361222.24693388294</v>
      </c>
      <c r="F33" s="54">
        <f>'Condo 99LH'!E35*('Condo 99LH'!D15-'Condo 99LH'!D35)</f>
        <v>612417.02784767502</v>
      </c>
      <c r="G33" s="56">
        <v>0</v>
      </c>
      <c r="I33" s="101">
        <v>0</v>
      </c>
    </row>
    <row r="35" spans="1:19" x14ac:dyDescent="0.2">
      <c r="A35" s="104" t="s">
        <v>246</v>
      </c>
      <c r="B35" s="4"/>
      <c r="C35" s="4"/>
      <c r="D35" s="4"/>
      <c r="E35" s="4"/>
      <c r="F35" s="4"/>
      <c r="G35" s="4"/>
      <c r="H35" s="4"/>
      <c r="I35" s="4"/>
    </row>
    <row r="36" spans="1:19" x14ac:dyDescent="0.2">
      <c r="A36" s="188" t="s">
        <v>247</v>
      </c>
      <c r="B36" s="188" t="s">
        <v>248</v>
      </c>
      <c r="C36" s="188" t="s">
        <v>6</v>
      </c>
      <c r="D36" s="188" t="s">
        <v>110</v>
      </c>
      <c r="E36" s="188" t="s">
        <v>249</v>
      </c>
      <c r="F36" s="188" t="s">
        <v>250</v>
      </c>
      <c r="G36" s="188" t="s">
        <v>251</v>
      </c>
      <c r="H36" s="188" t="s">
        <v>252</v>
      </c>
      <c r="I36" s="188" t="s">
        <v>253</v>
      </c>
      <c r="K36" t="s">
        <v>248</v>
      </c>
      <c r="L36" t="s">
        <v>254</v>
      </c>
      <c r="M36" t="s">
        <v>255</v>
      </c>
      <c r="N36" t="s">
        <v>250</v>
      </c>
      <c r="O36" t="s">
        <v>256</v>
      </c>
      <c r="P36" t="s">
        <v>257</v>
      </c>
      <c r="Q36" t="s">
        <v>258</v>
      </c>
      <c r="R36" t="s">
        <v>259</v>
      </c>
      <c r="S36" t="s">
        <v>253</v>
      </c>
    </row>
    <row r="37" spans="1:19" x14ac:dyDescent="0.2">
      <c r="A37" s="189">
        <v>1</v>
      </c>
      <c r="B37" s="190" t="str">
        <f>INDEX($K$37:$K$42,MATCH(1,$Q$37:$Q$42,0))</f>
        <v>FH Landed</v>
      </c>
      <c r="C37" s="191">
        <f>INDEX($L$37:$L$42,MATCH(1,$Q$37:$Q$42,0))</f>
        <v>4913192.718579337</v>
      </c>
      <c r="D37" s="192">
        <f>INDEX($L$37:$L$42,MATCH(1,$Q$37:$Q$42,0))-$H$19</f>
        <v>2578986.7260960657</v>
      </c>
      <c r="E37" s="193">
        <f>INDEX($M$37:$M$42,MATCH(1,$Q$37:$Q$42,0))</f>
        <v>0.10599519882779429</v>
      </c>
      <c r="F37" s="191">
        <f>INDEX($N$37:$N$42,MATCH(1,$Q$37:$Q$42,0))</f>
        <v>2203200</v>
      </c>
      <c r="G37" s="192">
        <f>INDEX($O$37:$O$42,MATCH(1,$Q$37:$Q$42,0))</f>
        <v>0</v>
      </c>
      <c r="H37" s="189">
        <f>INDEX($P$37:$P$42,MATCH(1,$Q$37:$Q$42,0))</f>
        <v>1</v>
      </c>
      <c r="I37" s="194" t="str">
        <f>INDEX($S$37:$S$42,MATCH(1,$Q$37:$Q$42,0))</f>
        <v>⚠️ 🟢</v>
      </c>
      <c r="K37" t="s">
        <v>33</v>
      </c>
      <c r="L37" s="21">
        <f>C19</f>
        <v>683202.12567288184</v>
      </c>
      <c r="M37" s="49">
        <f>C23</f>
        <v>4.8579418233316796E-2</v>
      </c>
      <c r="N37" s="21">
        <f>C14</f>
        <v>412200</v>
      </c>
      <c r="O37" s="21">
        <f>C33</f>
        <v>572089.74745166639</v>
      </c>
      <c r="P37" s="7">
        <f>C24</f>
        <v>2</v>
      </c>
      <c r="Q37">
        <f t="shared" ref="Q37:Q42" si="0">RANK(L37,$L$37:$L$42,0)</f>
        <v>6</v>
      </c>
      <c r="R37">
        <f t="shared" ref="R37:R42" si="1">RANK(M37,$M$37:$M$42,0)</f>
        <v>6</v>
      </c>
      <c r="S37" t="str">
        <f t="shared" ref="S37:S42" si="2">IF(L37&lt;$H$19,"🔴 ","")&amp;IF(O37&gt;400000,"🟡 ","")&amp;IF(N37&gt;1000000,"⚠️ ","")&amp;IF(L37&gt;$H$19,"🟢","")</f>
        <v xml:space="preserve">🔴 🟡 </v>
      </c>
    </row>
    <row r="38" spans="1:19" x14ac:dyDescent="0.2">
      <c r="A38" s="195">
        <v>2</v>
      </c>
      <c r="B38" s="196" t="str">
        <f>INDEX($K$37:$K$42,MATCH(2,$Q$37:$Q$42,0))</f>
        <v>FH Condo</v>
      </c>
      <c r="C38" s="197">
        <f>INDEX($L$37:$L$42,MATCH(2,$Q$37:$Q$42,0))</f>
        <v>2125118.0502451714</v>
      </c>
      <c r="D38" s="198">
        <f>INDEX($L$37:$L$42,MATCH(2,$Q$37:$Q$42,0))-$H$19</f>
        <v>-209087.94223809987</v>
      </c>
      <c r="E38" s="199">
        <f>INDEX($M$37:$M$42,MATCH(2,$Q$37:$Q$42,0))</f>
        <v>9.4742578339837902E-2</v>
      </c>
      <c r="F38" s="197">
        <f>INDEX($N$37:$N$42,MATCH(2,$Q$37:$Q$42,0))</f>
        <v>1211200</v>
      </c>
      <c r="G38" s="198">
        <f>INDEX($O$37:$O$42,MATCH(2,$Q$37:$Q$42,0))</f>
        <v>0</v>
      </c>
      <c r="H38" s="195">
        <f>INDEX($P$37:$P$42,MATCH(2,$Q$37:$Q$42,0))</f>
        <v>2</v>
      </c>
      <c r="I38" s="200" t="str">
        <f>INDEX($S$37:$S$42,MATCH(2,$Q$37:$Q$42,0))</f>
        <v xml:space="preserve">🔴 ⚠️ </v>
      </c>
      <c r="K38" t="s">
        <v>140</v>
      </c>
      <c r="L38" s="21">
        <f>D19</f>
        <v>1872152.0645452566</v>
      </c>
      <c r="M38" s="49">
        <f>D23</f>
        <v>7.3631353729964877E-2</v>
      </c>
      <c r="N38" s="21">
        <f>D14</f>
        <v>222200</v>
      </c>
      <c r="O38" s="21">
        <f>D33</f>
        <v>241399.931262976</v>
      </c>
      <c r="P38" s="7">
        <f>D24</f>
        <v>1</v>
      </c>
      <c r="Q38">
        <f t="shared" si="0"/>
        <v>3</v>
      </c>
      <c r="R38">
        <f t="shared" si="1"/>
        <v>5</v>
      </c>
      <c r="S38" t="str">
        <f t="shared" si="2"/>
        <v xml:space="preserve">🔴 </v>
      </c>
    </row>
    <row r="39" spans="1:19" x14ac:dyDescent="0.2">
      <c r="A39" s="201">
        <v>3</v>
      </c>
      <c r="B39" s="202" t="str">
        <f>INDEX($K$37:$K$42,MATCH(3,$Q$37:$Q$42,0))</f>
        <v>HDB 2005</v>
      </c>
      <c r="C39" s="203">
        <f>INDEX($L$37:$L$42,MATCH(3,$Q$37:$Q$42,0))</f>
        <v>1872152.0645452566</v>
      </c>
      <c r="D39" s="204">
        <f>INDEX($L$37:$L$42,MATCH(3,$Q$37:$Q$42,0))-$H$19</f>
        <v>-462053.92793801473</v>
      </c>
      <c r="E39" s="205">
        <f>INDEX($M$37:$M$42,MATCH(3,$Q$37:$Q$42,0))</f>
        <v>7.3631353729964877E-2</v>
      </c>
      <c r="F39" s="203">
        <f>INDEX($N$37:$N$42,MATCH(3,$Q$37:$Q$42,0))</f>
        <v>222200</v>
      </c>
      <c r="G39" s="204">
        <f>INDEX($O$37:$O$42,MATCH(3,$Q$37:$Q$42,0))</f>
        <v>241399.931262976</v>
      </c>
      <c r="H39" s="201">
        <f>INDEX($P$37:$P$42,MATCH(3,$Q$37:$Q$42,0))</f>
        <v>1</v>
      </c>
      <c r="I39" s="206" t="str">
        <f>INDEX($S$37:$S$42,MATCH(3,$Q$37:$Q$42,0))</f>
        <v xml:space="preserve">🔴 </v>
      </c>
      <c r="K39" t="s">
        <v>141</v>
      </c>
      <c r="L39" s="21">
        <f>E19</f>
        <v>1342299.0003581499</v>
      </c>
      <c r="M39" s="49">
        <f>E23</f>
        <v>7.4152745492967576E-2</v>
      </c>
      <c r="N39" s="21">
        <f>E14</f>
        <v>412200</v>
      </c>
      <c r="O39" s="21">
        <f>E33</f>
        <v>361222.24693388294</v>
      </c>
      <c r="P39" s="7">
        <f>E24</f>
        <v>2</v>
      </c>
      <c r="Q39">
        <f t="shared" si="0"/>
        <v>4</v>
      </c>
      <c r="R39">
        <f t="shared" si="1"/>
        <v>3</v>
      </c>
      <c r="S39" t="str">
        <f t="shared" si="2"/>
        <v xml:space="preserve">🔴 </v>
      </c>
    </row>
    <row r="40" spans="1:19" x14ac:dyDescent="0.2">
      <c r="A40" s="195">
        <v>4</v>
      </c>
      <c r="B40" s="196" t="str">
        <f>INDEX($K$37:$K$42,MATCH(4,$Q$37:$Q$42,0))</f>
        <v>HDB 2015</v>
      </c>
      <c r="C40" s="197">
        <f>INDEX($L$37:$L$42,MATCH(4,$Q$37:$Q$42,0))</f>
        <v>1342299.0003581499</v>
      </c>
      <c r="D40" s="198">
        <f>INDEX($L$37:$L$42,MATCH(4,$Q$37:$Q$42,0))-$H$19</f>
        <v>-991906.99212512141</v>
      </c>
      <c r="E40" s="199">
        <f>INDEX($M$37:$M$42,MATCH(4,$Q$37:$Q$42,0))</f>
        <v>7.4152745492967576E-2</v>
      </c>
      <c r="F40" s="197">
        <f>INDEX($N$37:$N$42,MATCH(4,$Q$37:$Q$42,0))</f>
        <v>412200</v>
      </c>
      <c r="G40" s="198">
        <f>INDEX($O$37:$O$42,MATCH(4,$Q$37:$Q$42,0))</f>
        <v>361222.24693388294</v>
      </c>
      <c r="H40" s="195">
        <f>INDEX($P$37:$P$42,MATCH(4,$Q$37:$Q$42,0))</f>
        <v>2</v>
      </c>
      <c r="I40" s="200" t="str">
        <f>INDEX($S$37:$S$42,MATCH(4,$Q$37:$Q$42,0))</f>
        <v xml:space="preserve">🔴 </v>
      </c>
      <c r="K40" t="s">
        <v>34</v>
      </c>
      <c r="L40" s="21">
        <f>F19</f>
        <v>752108.7266552113</v>
      </c>
      <c r="M40" s="49">
        <f>F23</f>
        <v>7.3812702070754632E-2</v>
      </c>
      <c r="N40" s="21">
        <f>F14</f>
        <v>763200</v>
      </c>
      <c r="O40" s="21">
        <f>F33</f>
        <v>612417.02784767502</v>
      </c>
      <c r="P40" s="7">
        <f>F24</f>
        <v>2</v>
      </c>
      <c r="Q40">
        <f t="shared" si="0"/>
        <v>5</v>
      </c>
      <c r="R40">
        <f t="shared" si="1"/>
        <v>4</v>
      </c>
      <c r="S40" t="str">
        <f t="shared" si="2"/>
        <v xml:space="preserve">🔴 🟡 </v>
      </c>
    </row>
    <row r="41" spans="1:19" x14ac:dyDescent="0.2">
      <c r="A41" s="201">
        <v>5</v>
      </c>
      <c r="B41" s="202" t="str">
        <f>INDEX($K$37:$K$42,MATCH(5,$Q$37:$Q$42,0))</f>
        <v>Condo 99LH</v>
      </c>
      <c r="C41" s="203">
        <f>INDEX($L$37:$L$42,MATCH(5,$Q$37:$Q$42,0))</f>
        <v>752108.7266552113</v>
      </c>
      <c r="D41" s="204">
        <f>INDEX($L$37:$L$42,MATCH(5,$Q$37:$Q$42,0))-$H$19</f>
        <v>-1582097.26582806</v>
      </c>
      <c r="E41" s="205">
        <f>INDEX($M$37:$M$42,MATCH(5,$Q$37:$Q$42,0))</f>
        <v>7.3812702070754632E-2</v>
      </c>
      <c r="F41" s="203">
        <f>INDEX($N$37:$N$42,MATCH(5,$Q$37:$Q$42,0))</f>
        <v>763200</v>
      </c>
      <c r="G41" s="204">
        <f>INDEX($O$37:$O$42,MATCH(5,$Q$37:$Q$42,0))</f>
        <v>612417.02784767502</v>
      </c>
      <c r="H41" s="201">
        <f>INDEX($P$37:$P$42,MATCH(5,$Q$37:$Q$42,0))</f>
        <v>2</v>
      </c>
      <c r="I41" s="206" t="str">
        <f>INDEX($S$37:$S$42,MATCH(5,$Q$37:$Q$42,0))</f>
        <v xml:space="preserve">🔴 🟡 </v>
      </c>
      <c r="K41" t="s">
        <v>35</v>
      </c>
      <c r="L41" s="21">
        <f>G19</f>
        <v>2125118.0502451714</v>
      </c>
      <c r="M41" s="49">
        <f>G23</f>
        <v>9.4742578339837902E-2</v>
      </c>
      <c r="N41" s="21">
        <f>G14</f>
        <v>1211200</v>
      </c>
      <c r="O41" s="55">
        <f>G33</f>
        <v>0</v>
      </c>
      <c r="P41" s="7">
        <f>G24</f>
        <v>2</v>
      </c>
      <c r="Q41">
        <f t="shared" si="0"/>
        <v>2</v>
      </c>
      <c r="R41">
        <f t="shared" si="1"/>
        <v>2</v>
      </c>
      <c r="S41" t="str">
        <f t="shared" si="2"/>
        <v xml:space="preserve">🔴 ⚠️ </v>
      </c>
    </row>
    <row r="42" spans="1:19" x14ac:dyDescent="0.2">
      <c r="A42" s="207">
        <v>6</v>
      </c>
      <c r="B42" s="208" t="str">
        <f>INDEX($K$37:$K$42,MATCH(6,$Q$37:$Q$42,0))</f>
        <v>HDB 1984</v>
      </c>
      <c r="C42" s="209">
        <f>INDEX($L$37:$L$42,MATCH(6,$Q$37:$Q$42,0))</f>
        <v>683202.12567288184</v>
      </c>
      <c r="D42" s="210">
        <f>INDEX($L$37:$L$42,MATCH(6,$Q$37:$Q$42,0))-$H$19</f>
        <v>-1651003.8668103893</v>
      </c>
      <c r="E42" s="211">
        <f>INDEX($M$37:$M$42,MATCH(6,$Q$37:$Q$42,0))</f>
        <v>4.8579418233316796E-2</v>
      </c>
      <c r="F42" s="209">
        <f>INDEX($N$37:$N$42,MATCH(6,$Q$37:$Q$42,0))</f>
        <v>412200</v>
      </c>
      <c r="G42" s="210">
        <f>INDEX($O$37:$O$42,MATCH(6,$Q$37:$Q$42,0))</f>
        <v>572089.74745166639</v>
      </c>
      <c r="H42" s="207">
        <f>INDEX($P$37:$P$42,MATCH(6,$Q$37:$Q$42,0))</f>
        <v>2</v>
      </c>
      <c r="I42" s="212" t="str">
        <f>INDEX($S$37:$S$42,MATCH(6,$Q$37:$Q$42,0))</f>
        <v xml:space="preserve">🔴 🟡 </v>
      </c>
      <c r="K42" t="s">
        <v>149</v>
      </c>
      <c r="L42" s="21">
        <f>I19</f>
        <v>4913192.718579337</v>
      </c>
      <c r="M42" s="49">
        <f>I23</f>
        <v>0.10599519882779429</v>
      </c>
      <c r="N42" s="21">
        <f>I14</f>
        <v>2203200</v>
      </c>
      <c r="O42" s="21">
        <f>I33</f>
        <v>0</v>
      </c>
      <c r="P42" s="7">
        <f>I24</f>
        <v>1</v>
      </c>
      <c r="Q42">
        <f t="shared" si="0"/>
        <v>1</v>
      </c>
      <c r="R42">
        <f t="shared" si="1"/>
        <v>1</v>
      </c>
      <c r="S42" t="str">
        <f t="shared" si="2"/>
        <v>⚠️ 🟢</v>
      </c>
    </row>
    <row r="44" spans="1:19" x14ac:dyDescent="0.2">
      <c r="A44" s="181" t="s">
        <v>260</v>
      </c>
      <c r="B44" s="181" t="s">
        <v>261</v>
      </c>
      <c r="C44" s="181" t="str">
        <f>B37</f>
        <v>FH Landed</v>
      </c>
      <c r="D44" s="181" t="s">
        <v>262</v>
      </c>
      <c r="E44" s="181" t="str">
        <f>B42</f>
        <v>HDB 1984</v>
      </c>
      <c r="F44" s="181" t="s">
        <v>263</v>
      </c>
      <c r="G44" s="182">
        <f>C37-C42</f>
        <v>4229990.5929064555</v>
      </c>
      <c r="H44" s="48"/>
      <c r="I44" s="48"/>
    </row>
    <row r="45" spans="1:19" x14ac:dyDescent="0.2">
      <c r="A45" s="183" t="s">
        <v>264</v>
      </c>
      <c r="B45" s="184" t="s">
        <v>265</v>
      </c>
      <c r="D45" s="184" t="s">
        <v>266</v>
      </c>
      <c r="F45" s="184" t="s">
        <v>267</v>
      </c>
      <c r="H45" s="184" t="s">
        <v>268</v>
      </c>
    </row>
    <row r="47" spans="1:19" x14ac:dyDescent="0.2">
      <c r="A47" s="104" t="s">
        <v>269</v>
      </c>
      <c r="B47" s="4"/>
      <c r="C47" s="4"/>
      <c r="D47" s="4"/>
      <c r="E47" s="4"/>
      <c r="F47" s="4"/>
      <c r="G47" s="4"/>
      <c r="H47" s="4"/>
      <c r="I47" s="4"/>
    </row>
    <row r="48" spans="1:19" x14ac:dyDescent="0.2">
      <c r="A48" s="225"/>
      <c r="B48" s="225"/>
      <c r="C48" s="225"/>
      <c r="D48" s="225"/>
      <c r="E48" s="225"/>
      <c r="F48" s="225"/>
      <c r="G48" s="225"/>
      <c r="H48" s="225"/>
      <c r="I48" s="225"/>
    </row>
    <row r="49" spans="1:9" ht="2" customHeight="1" x14ac:dyDescent="0.2">
      <c r="A49" s="226"/>
      <c r="B49" s="226" t="s">
        <v>33</v>
      </c>
      <c r="C49" s="226" t="s">
        <v>140</v>
      </c>
      <c r="D49" s="226" t="s">
        <v>141</v>
      </c>
      <c r="E49" s="226" t="s">
        <v>34</v>
      </c>
      <c r="F49" s="226" t="s">
        <v>35</v>
      </c>
      <c r="G49" s="226" t="s">
        <v>149</v>
      </c>
      <c r="H49" s="225"/>
      <c r="I49" s="225"/>
    </row>
    <row r="50" spans="1:9" ht="2" customHeight="1" x14ac:dyDescent="0.2">
      <c r="A50" s="226" t="s">
        <v>270</v>
      </c>
      <c r="B50" s="227">
        <f>C19</f>
        <v>683202.12567288184</v>
      </c>
      <c r="C50" s="227">
        <f>D19</f>
        <v>1872152.0645452566</v>
      </c>
      <c r="D50" s="227">
        <f>E19</f>
        <v>1342299.0003581499</v>
      </c>
      <c r="E50" s="227">
        <f>F19</f>
        <v>752108.7266552113</v>
      </c>
      <c r="F50" s="227">
        <f>G19</f>
        <v>2125118.0502451714</v>
      </c>
      <c r="G50" s="227">
        <f>I19</f>
        <v>4913192.718579337</v>
      </c>
      <c r="H50" s="225"/>
      <c r="I50" s="225"/>
    </row>
    <row r="51" spans="1:9" ht="2" customHeight="1" x14ac:dyDescent="0.2">
      <c r="A51" s="226" t="s">
        <v>271</v>
      </c>
      <c r="B51" s="227">
        <f t="shared" ref="B51:G51" si="3">$H$19</f>
        <v>2334205.9924832713</v>
      </c>
      <c r="C51" s="227">
        <f t="shared" si="3"/>
        <v>2334205.9924832713</v>
      </c>
      <c r="D51" s="227">
        <f t="shared" si="3"/>
        <v>2334205.9924832713</v>
      </c>
      <c r="E51" s="227">
        <f t="shared" si="3"/>
        <v>2334205.9924832713</v>
      </c>
      <c r="F51" s="227">
        <f t="shared" si="3"/>
        <v>2334205.9924832713</v>
      </c>
      <c r="G51" s="227">
        <f t="shared" si="3"/>
        <v>2334205.9924832713</v>
      </c>
      <c r="H51" s="225"/>
      <c r="I51" s="225"/>
    </row>
    <row r="52" spans="1:9" ht="2" customHeight="1" x14ac:dyDescent="0.2">
      <c r="A52" s="226"/>
      <c r="B52" s="226"/>
      <c r="C52" s="226"/>
      <c r="D52" s="226"/>
      <c r="E52" s="226"/>
      <c r="F52" s="226"/>
      <c r="G52" s="226"/>
      <c r="H52" s="225"/>
      <c r="I52" s="225"/>
    </row>
    <row r="53" spans="1:9" ht="2" customHeight="1" x14ac:dyDescent="0.2">
      <c r="A53" s="226"/>
      <c r="B53" s="226" t="s">
        <v>33</v>
      </c>
      <c r="C53" s="226" t="s">
        <v>140</v>
      </c>
      <c r="D53" s="226" t="s">
        <v>141</v>
      </c>
      <c r="E53" s="226" t="s">
        <v>34</v>
      </c>
      <c r="F53" s="226" t="s">
        <v>35</v>
      </c>
      <c r="G53" s="226" t="s">
        <v>149</v>
      </c>
      <c r="H53" s="225"/>
      <c r="I53" s="225"/>
    </row>
    <row r="54" spans="1:9" ht="2" customHeight="1" x14ac:dyDescent="0.2">
      <c r="A54" s="226" t="s">
        <v>272</v>
      </c>
      <c r="B54" s="227">
        <f t="shared" ref="B54:F55" si="4">C17</f>
        <v>872887.86638471275</v>
      </c>
      <c r="C54" s="227">
        <f t="shared" si="4"/>
        <v>728542.06355773844</v>
      </c>
      <c r="D54" s="227">
        <f t="shared" si="4"/>
        <v>1531984.7410699809</v>
      </c>
      <c r="E54" s="227">
        <f t="shared" si="4"/>
        <v>2979508.9499594648</v>
      </c>
      <c r="F54" s="227">
        <f t="shared" si="4"/>
        <v>7212238.5299675521</v>
      </c>
      <c r="G54" s="227">
        <f>I17</f>
        <v>16332550.908941854</v>
      </c>
      <c r="H54" s="225"/>
      <c r="I54" s="225"/>
    </row>
    <row r="55" spans="1:9" ht="2" customHeight="1" x14ac:dyDescent="0.2">
      <c r="A55" s="226" t="s">
        <v>273</v>
      </c>
      <c r="B55" s="227">
        <f t="shared" si="4"/>
        <v>-189685.74071183093</v>
      </c>
      <c r="C55" s="227">
        <f t="shared" si="4"/>
        <v>1143610.0009875181</v>
      </c>
      <c r="D55" s="227">
        <f t="shared" si="4"/>
        <v>-189685.74071183093</v>
      </c>
      <c r="E55" s="227">
        <f t="shared" si="4"/>
        <v>-2227400.2233042535</v>
      </c>
      <c r="F55" s="227">
        <f t="shared" si="4"/>
        <v>-5087120.4797223806</v>
      </c>
      <c r="G55" s="227">
        <f>I18</f>
        <v>-11419358.190362517</v>
      </c>
      <c r="H55" s="225"/>
      <c r="I55" s="225"/>
    </row>
    <row r="56" spans="1:9" ht="2" customHeight="1" x14ac:dyDescent="0.2">
      <c r="A56" s="226"/>
      <c r="B56" s="226"/>
      <c r="C56" s="226"/>
      <c r="D56" s="226"/>
      <c r="E56" s="226"/>
      <c r="F56" s="226"/>
      <c r="G56" s="226"/>
      <c r="H56" s="225"/>
      <c r="I56" s="225"/>
    </row>
    <row r="57" spans="1:9" ht="2" customHeight="1" x14ac:dyDescent="0.2">
      <c r="A57" s="226"/>
      <c r="B57" s="226" t="s">
        <v>33</v>
      </c>
      <c r="C57" s="226" t="s">
        <v>140</v>
      </c>
      <c r="D57" s="226" t="s">
        <v>141</v>
      </c>
      <c r="E57" s="226" t="s">
        <v>34</v>
      </c>
      <c r="F57" s="226" t="s">
        <v>35</v>
      </c>
      <c r="G57" s="226" t="s">
        <v>149</v>
      </c>
      <c r="H57" s="225"/>
      <c r="I57" s="225"/>
    </row>
    <row r="58" spans="1:9" ht="2" customHeight="1" x14ac:dyDescent="0.2">
      <c r="A58" s="226" t="s">
        <v>287</v>
      </c>
      <c r="B58" s="227">
        <f>C23</f>
        <v>4.8579418233316796E-2</v>
      </c>
      <c r="C58" s="227">
        <f>D23</f>
        <v>7.3631353729964877E-2</v>
      </c>
      <c r="D58" s="227">
        <f>E23</f>
        <v>7.4152745492967576E-2</v>
      </c>
      <c r="E58" s="227">
        <f>F23</f>
        <v>7.3812702070754632E-2</v>
      </c>
      <c r="F58" s="227">
        <f>G23</f>
        <v>9.4742578339837902E-2</v>
      </c>
      <c r="G58" s="227">
        <f>I23</f>
        <v>0.10599519882779429</v>
      </c>
      <c r="H58" s="225"/>
      <c r="I58" s="225"/>
    </row>
    <row r="59" spans="1:9" ht="2" customHeight="1" x14ac:dyDescent="0.2">
      <c r="H59" s="225"/>
      <c r="I59" s="225"/>
    </row>
    <row r="60" spans="1:9" collapsed="1" x14ac:dyDescent="0.2">
      <c r="A60" s="225"/>
      <c r="B60" s="225"/>
      <c r="C60" s="225"/>
      <c r="D60" s="225"/>
      <c r="E60" s="225"/>
      <c r="F60" s="225"/>
      <c r="G60" s="225"/>
      <c r="H60" s="225"/>
      <c r="I60" s="225"/>
    </row>
    <row r="61" spans="1:9" x14ac:dyDescent="0.2">
      <c r="A61" s="225"/>
      <c r="B61" s="225"/>
      <c r="C61" s="225"/>
      <c r="D61" s="225"/>
      <c r="E61" s="225"/>
      <c r="F61" s="225"/>
      <c r="G61" s="225"/>
      <c r="H61" s="225"/>
      <c r="I61" s="225"/>
    </row>
    <row r="62" spans="1:9" x14ac:dyDescent="0.2">
      <c r="A62" s="225"/>
      <c r="B62" s="225"/>
      <c r="C62" s="225"/>
      <c r="D62" s="225"/>
      <c r="E62" s="225"/>
      <c r="F62" s="225"/>
      <c r="G62" s="225"/>
      <c r="H62" s="225"/>
      <c r="I62" s="225"/>
    </row>
    <row r="63" spans="1:9" x14ac:dyDescent="0.2">
      <c r="A63" s="225"/>
      <c r="B63" s="225"/>
      <c r="C63" s="225"/>
      <c r="D63" s="225"/>
      <c r="E63" s="225"/>
      <c r="F63" s="225"/>
      <c r="G63" s="225"/>
      <c r="H63" s="225"/>
      <c r="I63" s="225"/>
    </row>
    <row r="64" spans="1:9" x14ac:dyDescent="0.2">
      <c r="A64" s="225"/>
      <c r="B64" s="225"/>
      <c r="C64" s="225"/>
      <c r="D64" s="225"/>
      <c r="E64" s="225"/>
      <c r="F64" s="225"/>
      <c r="G64" s="225"/>
      <c r="H64" s="225"/>
      <c r="I64" s="225"/>
    </row>
    <row r="65" spans="1:9" x14ac:dyDescent="0.2">
      <c r="A65" s="225"/>
      <c r="B65" s="225"/>
      <c r="C65" s="225"/>
      <c r="D65" s="225"/>
      <c r="E65" s="225"/>
      <c r="F65" s="225"/>
      <c r="G65" s="225"/>
      <c r="H65" s="225"/>
      <c r="I65" s="225"/>
    </row>
    <row r="66" spans="1:9" x14ac:dyDescent="0.2">
      <c r="A66" s="225"/>
      <c r="B66" s="225"/>
      <c r="C66" s="225"/>
      <c r="D66" s="225"/>
      <c r="E66" s="225"/>
      <c r="F66" s="225"/>
      <c r="G66" s="225"/>
      <c r="H66" s="225"/>
      <c r="I66" s="225"/>
    </row>
    <row r="67" spans="1:9" x14ac:dyDescent="0.2">
      <c r="A67" s="225"/>
      <c r="B67" s="225"/>
      <c r="C67" s="225"/>
      <c r="D67" s="225"/>
      <c r="E67" s="225"/>
      <c r="F67" s="225"/>
      <c r="G67" s="225"/>
      <c r="H67" s="225"/>
      <c r="I67" s="225"/>
    </row>
    <row r="68" spans="1:9" x14ac:dyDescent="0.2">
      <c r="A68" s="225"/>
      <c r="B68" s="225"/>
      <c r="C68" s="225"/>
      <c r="D68" s="225"/>
      <c r="E68" s="225"/>
      <c r="F68" s="225"/>
      <c r="G68" s="225"/>
      <c r="H68" s="225"/>
      <c r="I68" s="225"/>
    </row>
    <row r="69" spans="1:9" x14ac:dyDescent="0.2">
      <c r="A69" s="225"/>
      <c r="B69" s="225"/>
      <c r="C69" s="225"/>
      <c r="D69" s="225"/>
      <c r="E69" s="225"/>
      <c r="F69" s="225"/>
      <c r="G69" s="225"/>
      <c r="H69" s="225"/>
      <c r="I69" s="225"/>
    </row>
    <row r="70" spans="1:9" x14ac:dyDescent="0.2">
      <c r="A70" s="225"/>
      <c r="B70" s="225"/>
      <c r="C70" s="225"/>
      <c r="D70" s="225"/>
      <c r="E70" s="225"/>
      <c r="F70" s="225"/>
      <c r="G70" s="225"/>
      <c r="H70" s="225"/>
      <c r="I70" s="225"/>
    </row>
    <row r="71" spans="1:9" x14ac:dyDescent="0.2">
      <c r="A71" s="225"/>
      <c r="B71" s="225"/>
      <c r="C71" s="225"/>
      <c r="D71" s="225"/>
      <c r="E71" s="225"/>
      <c r="F71" s="225"/>
      <c r="G71" s="225"/>
      <c r="H71" s="225"/>
      <c r="I71" s="225"/>
    </row>
    <row r="72" spans="1:9" x14ac:dyDescent="0.2">
      <c r="A72" s="225"/>
      <c r="B72" s="225"/>
      <c r="C72" s="225"/>
      <c r="D72" s="225"/>
      <c r="E72" s="225"/>
      <c r="F72" s="225"/>
      <c r="G72" s="225"/>
      <c r="H72" s="225"/>
      <c r="I72" s="225"/>
    </row>
    <row r="73" spans="1:9" x14ac:dyDescent="0.2">
      <c r="A73" s="225"/>
      <c r="B73" s="225"/>
      <c r="C73" s="225"/>
      <c r="D73" s="225"/>
      <c r="E73" s="225"/>
      <c r="F73" s="225"/>
      <c r="G73" s="225"/>
      <c r="H73" s="225"/>
      <c r="I73" s="225"/>
    </row>
    <row r="74" spans="1:9" x14ac:dyDescent="0.2">
      <c r="A74" s="225"/>
      <c r="B74" s="225"/>
      <c r="C74" s="225"/>
      <c r="D74" s="225"/>
      <c r="E74" s="225"/>
      <c r="F74" s="225"/>
      <c r="G74" s="225"/>
      <c r="H74" s="225"/>
      <c r="I74" s="225"/>
    </row>
    <row r="75" spans="1:9" x14ac:dyDescent="0.2">
      <c r="A75" s="225"/>
      <c r="B75" s="225"/>
      <c r="C75" s="225"/>
      <c r="D75" s="225"/>
      <c r="E75" s="225"/>
      <c r="F75" s="225"/>
      <c r="G75" s="225"/>
      <c r="H75" s="225"/>
      <c r="I75" s="225"/>
    </row>
    <row r="76" spans="1:9" x14ac:dyDescent="0.2">
      <c r="A76" s="225"/>
      <c r="B76" s="225"/>
      <c r="C76" s="225"/>
      <c r="D76" s="225"/>
      <c r="E76" s="225"/>
      <c r="F76" s="225"/>
      <c r="G76" s="225"/>
      <c r="H76" s="225"/>
      <c r="I76" s="225"/>
    </row>
    <row r="77" spans="1:9" x14ac:dyDescent="0.2">
      <c r="A77" s="225"/>
      <c r="B77" s="225"/>
      <c r="C77" s="225"/>
      <c r="D77" s="225"/>
      <c r="E77" s="225"/>
      <c r="F77" s="225"/>
      <c r="G77" s="225"/>
      <c r="H77" s="225"/>
      <c r="I77" s="225"/>
    </row>
    <row r="78" spans="1:9" x14ac:dyDescent="0.2">
      <c r="A78" s="225"/>
      <c r="B78" s="225"/>
      <c r="C78" s="225"/>
      <c r="D78" s="225"/>
      <c r="E78" s="225"/>
      <c r="F78" s="225"/>
      <c r="G78" s="225"/>
      <c r="H78" s="225"/>
      <c r="I78" s="225"/>
    </row>
    <row r="79" spans="1:9" x14ac:dyDescent="0.2">
      <c r="A79" s="225"/>
      <c r="B79" s="225"/>
      <c r="C79" s="225"/>
      <c r="D79" s="225"/>
      <c r="E79" s="225"/>
      <c r="F79" s="225"/>
      <c r="G79" s="225"/>
      <c r="H79" s="225"/>
      <c r="I79" s="225"/>
    </row>
    <row r="80" spans="1:9" x14ac:dyDescent="0.2">
      <c r="A80" s="225"/>
      <c r="B80" s="225"/>
      <c r="C80" s="225"/>
      <c r="D80" s="225"/>
      <c r="E80" s="225"/>
      <c r="F80" s="225"/>
      <c r="G80" s="225"/>
      <c r="H80" s="225"/>
      <c r="I80" s="225"/>
    </row>
    <row r="81" spans="1:9" x14ac:dyDescent="0.2">
      <c r="A81" s="225"/>
      <c r="B81" s="225"/>
      <c r="C81" s="225"/>
      <c r="D81" s="225"/>
      <c r="E81" s="225"/>
      <c r="F81" s="225"/>
      <c r="G81" s="225"/>
      <c r="H81" s="225"/>
      <c r="I81" s="225"/>
    </row>
    <row r="82" spans="1:9" x14ac:dyDescent="0.2">
      <c r="A82" s="225"/>
      <c r="B82" s="225"/>
      <c r="C82" s="225"/>
      <c r="D82" s="225"/>
      <c r="E82" s="225"/>
      <c r="F82" s="225"/>
      <c r="G82" s="225"/>
      <c r="H82" s="225"/>
      <c r="I82" s="225"/>
    </row>
    <row r="83" spans="1:9" x14ac:dyDescent="0.2">
      <c r="A83" s="225"/>
      <c r="B83" s="225"/>
      <c r="C83" s="225"/>
      <c r="D83" s="225"/>
      <c r="E83" s="225"/>
      <c r="F83" s="225"/>
      <c r="G83" s="225"/>
      <c r="H83" s="225"/>
      <c r="I83" s="225"/>
    </row>
    <row r="84" spans="1:9" x14ac:dyDescent="0.2">
      <c r="A84" s="225"/>
      <c r="B84" s="225"/>
      <c r="C84" s="225"/>
      <c r="D84" s="225"/>
      <c r="E84" s="225"/>
      <c r="F84" s="225"/>
      <c r="G84" s="225"/>
      <c r="H84" s="225"/>
      <c r="I84" s="225"/>
    </row>
    <row r="85" spans="1:9" x14ac:dyDescent="0.2">
      <c r="A85" s="225"/>
      <c r="B85" s="225"/>
      <c r="C85" s="225"/>
      <c r="D85" s="225"/>
      <c r="E85" s="225"/>
      <c r="F85" s="225"/>
      <c r="G85" s="225"/>
      <c r="H85" s="225"/>
      <c r="I85" s="225"/>
    </row>
    <row r="86" spans="1:9" x14ac:dyDescent="0.2">
      <c r="A86" s="225"/>
      <c r="B86" s="225"/>
      <c r="C86" s="225"/>
      <c r="D86" s="225"/>
      <c r="E86" s="225"/>
      <c r="F86" s="225"/>
      <c r="G86" s="225"/>
      <c r="H86" s="225"/>
      <c r="I86" s="225"/>
    </row>
    <row r="87" spans="1:9" x14ac:dyDescent="0.2">
      <c r="A87" s="225"/>
      <c r="B87" s="225"/>
      <c r="C87" s="225"/>
      <c r="D87" s="225"/>
      <c r="E87" s="225"/>
      <c r="F87" s="225"/>
      <c r="G87" s="225"/>
      <c r="H87" s="225"/>
      <c r="I87" s="225"/>
    </row>
    <row r="88" spans="1:9" x14ac:dyDescent="0.2">
      <c r="A88" s="225"/>
      <c r="B88" s="225"/>
      <c r="C88" s="225"/>
      <c r="D88" s="225"/>
      <c r="E88" s="225"/>
      <c r="F88" s="225"/>
      <c r="G88" s="225"/>
      <c r="H88" s="225"/>
      <c r="I88" s="225"/>
    </row>
    <row r="89" spans="1:9" x14ac:dyDescent="0.2">
      <c r="A89" s="225"/>
      <c r="B89" s="225"/>
      <c r="C89" s="225"/>
      <c r="D89" s="225"/>
      <c r="E89" s="225"/>
      <c r="F89" s="225"/>
      <c r="G89" s="225"/>
      <c r="H89" s="225"/>
      <c r="I89" s="225"/>
    </row>
    <row r="90" spans="1:9" x14ac:dyDescent="0.2">
      <c r="A90" s="225"/>
      <c r="B90" s="225"/>
      <c r="C90" s="225"/>
      <c r="D90" s="225"/>
      <c r="E90" s="225"/>
      <c r="F90" s="225"/>
      <c r="G90" s="225"/>
      <c r="H90" s="225"/>
      <c r="I90" s="225"/>
    </row>
    <row r="91" spans="1:9" x14ac:dyDescent="0.2">
      <c r="A91" s="225"/>
      <c r="B91" s="225"/>
      <c r="C91" s="225"/>
      <c r="D91" s="225"/>
      <c r="E91" s="225"/>
      <c r="F91" s="225"/>
      <c r="G91" s="225"/>
      <c r="H91" s="225"/>
      <c r="I91" s="225"/>
    </row>
    <row r="92" spans="1:9" x14ac:dyDescent="0.2">
      <c r="A92" s="225"/>
      <c r="B92" s="225"/>
      <c r="C92" s="225"/>
      <c r="D92" s="225"/>
      <c r="E92" s="225"/>
      <c r="F92" s="225"/>
      <c r="G92" s="225"/>
      <c r="H92" s="225"/>
      <c r="I92" s="225"/>
    </row>
    <row r="93" spans="1:9" x14ac:dyDescent="0.2">
      <c r="A93" s="225"/>
      <c r="B93" s="225"/>
      <c r="C93" s="225"/>
      <c r="D93" s="225"/>
      <c r="E93" s="225"/>
      <c r="F93" s="225"/>
      <c r="G93" s="225"/>
      <c r="H93" s="225"/>
      <c r="I93" s="225"/>
    </row>
    <row r="94" spans="1:9" x14ac:dyDescent="0.2">
      <c r="A94" s="225"/>
      <c r="B94" s="225"/>
      <c r="C94" s="225"/>
      <c r="D94" s="225"/>
      <c r="E94" s="225"/>
      <c r="F94" s="225"/>
      <c r="G94" s="225"/>
      <c r="H94" s="225"/>
      <c r="I94" s="225"/>
    </row>
    <row r="95" spans="1:9" x14ac:dyDescent="0.2">
      <c r="A95" s="225"/>
      <c r="B95" s="225"/>
      <c r="C95" s="225"/>
      <c r="D95" s="225"/>
      <c r="E95" s="225"/>
      <c r="F95" s="225"/>
      <c r="G95" s="225"/>
      <c r="H95" s="225"/>
      <c r="I95" s="225"/>
    </row>
    <row r="96" spans="1:9" x14ac:dyDescent="0.2">
      <c r="A96" s="225"/>
      <c r="B96" s="225"/>
      <c r="C96" s="225"/>
      <c r="D96" s="225"/>
      <c r="E96" s="225"/>
      <c r="F96" s="225"/>
      <c r="G96" s="225"/>
      <c r="H96" s="225"/>
      <c r="I96" s="225"/>
    </row>
    <row r="97" spans="1:9" x14ac:dyDescent="0.2">
      <c r="A97" s="225"/>
      <c r="B97" s="225"/>
      <c r="C97" s="225"/>
      <c r="D97" s="225"/>
      <c r="E97" s="225"/>
      <c r="F97" s="225"/>
      <c r="G97" s="225"/>
      <c r="H97" s="225"/>
      <c r="I97" s="225"/>
    </row>
    <row r="98" spans="1:9" x14ac:dyDescent="0.2">
      <c r="A98" s="225"/>
      <c r="B98" s="225"/>
      <c r="C98" s="225"/>
      <c r="D98" s="225"/>
      <c r="E98" s="225"/>
      <c r="F98" s="225"/>
      <c r="G98" s="225"/>
      <c r="H98" s="225"/>
      <c r="I98" s="225"/>
    </row>
    <row r="99" spans="1:9" x14ac:dyDescent="0.2">
      <c r="A99" s="225"/>
      <c r="B99" s="225"/>
      <c r="C99" s="225"/>
      <c r="D99" s="225"/>
      <c r="E99" s="225"/>
      <c r="F99" s="225"/>
      <c r="G99" s="225"/>
      <c r="H99" s="225"/>
      <c r="I99" s="225"/>
    </row>
    <row r="100" spans="1:9" x14ac:dyDescent="0.2">
      <c r="A100" s="225"/>
      <c r="B100" s="225"/>
      <c r="C100" s="225"/>
      <c r="D100" s="225"/>
      <c r="E100" s="225"/>
      <c r="F100" s="225"/>
      <c r="G100" s="225"/>
      <c r="H100" s="225"/>
      <c r="I100" s="225"/>
    </row>
    <row r="101" spans="1:9" x14ac:dyDescent="0.2">
      <c r="A101" s="225"/>
      <c r="B101" s="225"/>
      <c r="C101" s="225"/>
      <c r="D101" s="225"/>
      <c r="E101" s="225"/>
      <c r="F101" s="225"/>
      <c r="G101" s="225"/>
      <c r="H101" s="225"/>
      <c r="I101" s="225"/>
    </row>
    <row r="102" spans="1:9" x14ac:dyDescent="0.2">
      <c r="A102" s="225"/>
      <c r="B102" s="225"/>
      <c r="C102" s="225"/>
      <c r="D102" s="225"/>
      <c r="E102" s="225"/>
      <c r="F102" s="225"/>
      <c r="G102" s="225"/>
      <c r="H102" s="225"/>
      <c r="I102" s="225"/>
    </row>
    <row r="103" spans="1:9" x14ac:dyDescent="0.2">
      <c r="A103" s="225"/>
      <c r="B103" s="225"/>
      <c r="C103" s="225"/>
      <c r="D103" s="225"/>
      <c r="E103" s="225"/>
      <c r="F103" s="225"/>
      <c r="G103" s="225"/>
      <c r="H103" s="225"/>
      <c r="I103" s="225"/>
    </row>
    <row r="104" spans="1:9" x14ac:dyDescent="0.2">
      <c r="A104" s="225"/>
      <c r="B104" s="225"/>
      <c r="C104" s="225"/>
      <c r="D104" s="225"/>
      <c r="E104" s="225"/>
      <c r="F104" s="225"/>
      <c r="G104" s="225"/>
      <c r="H104" s="225"/>
      <c r="I104" s="225"/>
    </row>
    <row r="105" spans="1:9" x14ac:dyDescent="0.2">
      <c r="A105" s="225"/>
      <c r="B105" s="225"/>
      <c r="C105" s="225"/>
      <c r="D105" s="225"/>
      <c r="E105" s="225"/>
      <c r="F105" s="225"/>
      <c r="G105" s="225"/>
      <c r="H105" s="225"/>
      <c r="I105" s="225"/>
    </row>
    <row r="106" spans="1:9" x14ac:dyDescent="0.2">
      <c r="A106" s="225"/>
      <c r="B106" s="225"/>
      <c r="C106" s="225"/>
      <c r="D106" s="225"/>
      <c r="E106" s="225"/>
      <c r="F106" s="225"/>
      <c r="G106" s="225"/>
      <c r="H106" s="225"/>
      <c r="I106" s="225"/>
    </row>
    <row r="107" spans="1:9" x14ac:dyDescent="0.2">
      <c r="A107" s="225"/>
      <c r="B107" s="225"/>
      <c r="C107" s="225"/>
      <c r="D107" s="225"/>
      <c r="E107" s="225"/>
      <c r="F107" s="225"/>
      <c r="G107" s="225"/>
      <c r="H107" s="225"/>
      <c r="I107" s="225"/>
    </row>
    <row r="108" spans="1:9" x14ac:dyDescent="0.2">
      <c r="A108" s="225"/>
      <c r="B108" s="225"/>
      <c r="C108" s="225"/>
      <c r="D108" s="225"/>
      <c r="E108" s="225"/>
      <c r="F108" s="225"/>
      <c r="G108" s="225"/>
      <c r="H108" s="225"/>
      <c r="I108" s="225"/>
    </row>
    <row r="109" spans="1:9" x14ac:dyDescent="0.2">
      <c r="A109" s="225"/>
      <c r="B109" s="225"/>
      <c r="C109" s="225"/>
      <c r="D109" s="225"/>
      <c r="E109" s="225"/>
      <c r="F109" s="225"/>
      <c r="G109" s="225"/>
      <c r="H109" s="225"/>
      <c r="I109" s="225"/>
    </row>
    <row r="110" spans="1:9" x14ac:dyDescent="0.2">
      <c r="A110" s="225"/>
      <c r="B110" s="225"/>
      <c r="C110" s="225"/>
      <c r="D110" s="225"/>
      <c r="E110" s="225"/>
      <c r="F110" s="225"/>
      <c r="G110" s="225"/>
      <c r="H110" s="225"/>
      <c r="I110" s="225"/>
    </row>
    <row r="111" spans="1:9" x14ac:dyDescent="0.2">
      <c r="A111" s="225"/>
      <c r="B111" s="225"/>
      <c r="C111" s="225"/>
      <c r="D111" s="225"/>
      <c r="E111" s="225"/>
      <c r="F111" s="225"/>
      <c r="G111" s="225"/>
      <c r="H111" s="225"/>
      <c r="I111" s="225"/>
    </row>
    <row r="112" spans="1:9" x14ac:dyDescent="0.2">
      <c r="A112" s="225"/>
      <c r="B112" s="225"/>
      <c r="C112" s="225"/>
      <c r="D112" s="225"/>
      <c r="E112" s="225"/>
      <c r="F112" s="225"/>
      <c r="G112" s="225"/>
      <c r="H112" s="225"/>
      <c r="I112" s="225"/>
    </row>
    <row r="113" spans="1:9" x14ac:dyDescent="0.2">
      <c r="A113" s="225"/>
      <c r="B113" s="225"/>
      <c r="C113" s="225"/>
      <c r="D113" s="225"/>
      <c r="E113" s="225"/>
      <c r="F113" s="225"/>
      <c r="G113" s="225"/>
      <c r="H113" s="225"/>
      <c r="I113" s="225"/>
    </row>
    <row r="114" spans="1:9" x14ac:dyDescent="0.2">
      <c r="A114" s="225"/>
      <c r="B114" s="225"/>
      <c r="C114" s="225"/>
      <c r="D114" s="225"/>
      <c r="E114" s="225"/>
      <c r="F114" s="225"/>
      <c r="G114" s="225"/>
      <c r="H114" s="225"/>
      <c r="I114" s="225"/>
    </row>
    <row r="115" spans="1:9" x14ac:dyDescent="0.2">
      <c r="A115" s="233" t="s">
        <v>274</v>
      </c>
      <c r="B115" s="233"/>
      <c r="C115" s="233"/>
      <c r="D115" s="233"/>
      <c r="E115" s="233"/>
      <c r="F115" s="233"/>
      <c r="G115" s="233"/>
      <c r="H115" s="233"/>
      <c r="I115" s="233"/>
    </row>
    <row r="116" spans="1:9" ht="36" customHeight="1" x14ac:dyDescent="0.2">
      <c r="A116" s="213" t="s">
        <v>248</v>
      </c>
      <c r="B116" s="214" t="s">
        <v>275</v>
      </c>
      <c r="C116" s="214" t="s">
        <v>276</v>
      </c>
      <c r="D116" s="214" t="s">
        <v>277</v>
      </c>
      <c r="E116" s="214" t="s">
        <v>278</v>
      </c>
      <c r="F116" s="214" t="s">
        <v>279</v>
      </c>
      <c r="G116" s="214" t="s">
        <v>280</v>
      </c>
      <c r="H116" s="215" t="s">
        <v>281</v>
      </c>
      <c r="I116" s="185"/>
    </row>
    <row r="117" spans="1:9" x14ac:dyDescent="0.2">
      <c r="A117" s="216" t="s">
        <v>33</v>
      </c>
      <c r="B117" s="217" t="str">
        <f>IF(C19&gt;$H$19,"✅ Yes","❌ No")</f>
        <v>❌ No</v>
      </c>
      <c r="C117" s="217" t="str">
        <f>IF(C28="Freehold","🟢 None",IF(C28&lt;60,"🔴 High",IF(C28&lt;80,"🟡 Medium","🟢 Low")))</f>
        <v>🔴 High</v>
      </c>
      <c r="D117" s="217" t="str">
        <f>IF(C14&gt;1500000,"🔴 Very High",IF(C14&gt;1000000,"🟡 High",IF(C14&gt;500000,"🟢 Medium","🟢 Low")))</f>
        <v>🟢 Low</v>
      </c>
      <c r="E117" s="217" t="str">
        <f>IF(C23&gt;0.09,"🟢 Strong",IF(C23&gt;0.07,"🟢 Good",IF(C23&gt;0.05,"🟡 Fair","🔴 Weak")))</f>
        <v>🔴 Weak</v>
      </c>
      <c r="F117" s="217" t="str">
        <f>IF(C33&gt;500000,"🔴 Severe",IF(C33&gt;300000,"🟡 Moderate",IF(C33&gt;0,"🟢 Minor","🟢 None")))</f>
        <v>🔴 Severe</v>
      </c>
      <c r="G117" s="217">
        <f t="shared" ref="G117:G122" si="5">COUNTIF(B117:F117,"🔴*")*2+COUNTIF(B117:F117,"🟡*")*1+COUNTIF(B117:F117,"❌*")*2</f>
        <v>8</v>
      </c>
      <c r="H117" s="218" t="str">
        <f t="shared" ref="H117:H122" si="6">IF(G117&lt;=1,"⭐ Excellent",IF(G117&lt;=3,"✅ Favorable",IF(G117&lt;=5,"⚠️ Moderate","🛑 Caution")))</f>
        <v>🛑 Caution</v>
      </c>
      <c r="I117" s="186"/>
    </row>
    <row r="118" spans="1:9" x14ac:dyDescent="0.2">
      <c r="A118" s="219" t="s">
        <v>140</v>
      </c>
      <c r="B118" s="220" t="str">
        <f>IF(D19&gt;$H$19,"✅ Yes","❌ No")</f>
        <v>❌ No</v>
      </c>
      <c r="C118" s="220" t="str">
        <f>IF(D28="Freehold","🟢 None",IF(D28&lt;60,"🔴 High",IF(D28&lt;80,"🟡 Medium","🟢 Low")))</f>
        <v>🟡 Medium</v>
      </c>
      <c r="D118" s="220" t="str">
        <f>IF(D14&gt;1500000,"🔴 Very High",IF(D14&gt;1000000,"🟡 High",IF(D14&gt;500000,"🟢 Medium","🟢 Low")))</f>
        <v>🟢 Low</v>
      </c>
      <c r="E118" s="220" t="str">
        <f>IF(D23&gt;0.09,"🟢 Strong",IF(D23&gt;0.07,"🟢 Good",IF(D23&gt;0.05,"🟡 Fair","🔴 Weak")))</f>
        <v>🟢 Good</v>
      </c>
      <c r="F118" s="220" t="str">
        <f>IF(D33&gt;500000,"🔴 Severe",IF(D33&gt;300000,"🟡 Moderate",IF(D33&gt;0,"🟢 Minor","🟢 None")))</f>
        <v>🟢 Minor</v>
      </c>
      <c r="G118" s="220">
        <f t="shared" si="5"/>
        <v>3</v>
      </c>
      <c r="H118" s="221" t="str">
        <f t="shared" si="6"/>
        <v>✅ Favorable</v>
      </c>
      <c r="I118" s="187"/>
    </row>
    <row r="119" spans="1:9" x14ac:dyDescent="0.2">
      <c r="A119" s="216" t="s">
        <v>141</v>
      </c>
      <c r="B119" s="217" t="str">
        <f>IF(E19&gt;$H$19,"✅ Yes","❌ No")</f>
        <v>❌ No</v>
      </c>
      <c r="C119" s="217" t="str">
        <f>IF(E28="Freehold","🟢 None",IF(E28&lt;60,"🔴 High",IF(E28&lt;80,"🟡 Medium","🟢 Low")))</f>
        <v>🟢 Low</v>
      </c>
      <c r="D119" s="217" t="str">
        <f>IF(E14&gt;1500000,"🔴 Very High",IF(E14&gt;1000000,"🟡 High",IF(E14&gt;500000,"🟢 Medium","🟢 Low")))</f>
        <v>🟢 Low</v>
      </c>
      <c r="E119" s="217" t="str">
        <f>IF(E23&gt;0.09,"🟢 Strong",IF(E23&gt;0.07,"🟢 Good",IF(E23&gt;0.05,"🟡 Fair","🔴 Weak")))</f>
        <v>🟢 Good</v>
      </c>
      <c r="F119" s="217" t="str">
        <f>IF(E33&gt;500000,"🔴 Severe",IF(E33&gt;300000,"🟡 Moderate",IF(E33&gt;0,"🟢 Minor","🟢 None")))</f>
        <v>🟡 Moderate</v>
      </c>
      <c r="G119" s="217">
        <f t="shared" si="5"/>
        <v>3</v>
      </c>
      <c r="H119" s="218" t="str">
        <f t="shared" si="6"/>
        <v>✅ Favorable</v>
      </c>
      <c r="I119" s="186"/>
    </row>
    <row r="120" spans="1:9" x14ac:dyDescent="0.2">
      <c r="A120" s="219" t="s">
        <v>34</v>
      </c>
      <c r="B120" s="220" t="str">
        <f>IF(F19&gt;$H$19,"✅ Yes","❌ No")</f>
        <v>❌ No</v>
      </c>
      <c r="C120" s="220" t="str">
        <f>IF(F28="Freehold","🟢 None",IF(F28&lt;60,"🔴 High",IF(F28&lt;80,"🟡 Medium","🟢 Low")))</f>
        <v>🟢 Low</v>
      </c>
      <c r="D120" s="220" t="str">
        <f>IF(F14&gt;1500000,"🔴 Very High",IF(F14&gt;1000000,"🟡 High",IF(F14&gt;500000,"🟢 Medium","🟢 Low")))</f>
        <v>🟢 Medium</v>
      </c>
      <c r="E120" s="220" t="str">
        <f>IF(F23&gt;0.09,"🟢 Strong",IF(F23&gt;0.07,"🟢 Good",IF(F23&gt;0.05,"🟡 Fair","🔴 Weak")))</f>
        <v>🟢 Good</v>
      </c>
      <c r="F120" s="220" t="str">
        <f>IF(F33&gt;500000,"🔴 Severe",IF(F33&gt;300000,"🟡 Moderate",IF(F33&gt;0,"🟢 Minor","🟢 None")))</f>
        <v>🔴 Severe</v>
      </c>
      <c r="G120" s="220">
        <f t="shared" si="5"/>
        <v>4</v>
      </c>
      <c r="H120" s="221" t="str">
        <f t="shared" si="6"/>
        <v>⚠️ Moderate</v>
      </c>
      <c r="I120" s="187"/>
    </row>
    <row r="121" spans="1:9" x14ac:dyDescent="0.2">
      <c r="A121" s="216" t="s">
        <v>35</v>
      </c>
      <c r="B121" s="217" t="str">
        <f>IF(G19&gt;$H$19,"✅ Yes","❌ No")</f>
        <v>❌ No</v>
      </c>
      <c r="C121" s="217" t="str">
        <f>IF(G28="Freehold","🟢 None",IF(G28&lt;60,"🔴 High",IF(G28&lt;80,"🟡 Medium","🟢 Low")))</f>
        <v>🟢 None</v>
      </c>
      <c r="D121" s="217" t="str">
        <f>IF(G14&gt;1500000,"🔴 Very High",IF(G14&gt;1000000,"🟡 High",IF(G14&gt;500000,"🟢 Medium","🟢 Low")))</f>
        <v>🟡 High</v>
      </c>
      <c r="E121" s="217" t="str">
        <f>IF(G23&gt;0.09,"🟢 Strong",IF(G23&gt;0.07,"🟢 Good",IF(G23&gt;0.05,"🟡 Fair","🔴 Weak")))</f>
        <v>🟢 Strong</v>
      </c>
      <c r="F121" s="217" t="str">
        <f>IF(G33&gt;500000,"🔴 Severe",IF(G33&gt;300000,"🟡 Moderate",IF(G33&gt;0,"🟢 Minor","🟢 None")))</f>
        <v>🟢 None</v>
      </c>
      <c r="G121" s="217">
        <f t="shared" si="5"/>
        <v>3</v>
      </c>
      <c r="H121" s="218" t="str">
        <f t="shared" si="6"/>
        <v>✅ Favorable</v>
      </c>
      <c r="I121" s="186"/>
    </row>
    <row r="122" spans="1:9" x14ac:dyDescent="0.2">
      <c r="A122" s="222" t="s">
        <v>149</v>
      </c>
      <c r="B122" s="223" t="str">
        <f>IF(I19&gt;$H$19,"✅ Yes","❌ No")</f>
        <v>✅ Yes</v>
      </c>
      <c r="C122" s="223" t="str">
        <f>IF(I28="Freehold","🟢 None",IF(I28&lt;60,"🔴 High",IF(I28&lt;80,"🟡 Medium","🟢 Low")))</f>
        <v>🟢 None</v>
      </c>
      <c r="D122" s="223" t="str">
        <f>IF(I14&gt;1500000,"🔴 Very High",IF(I14&gt;1000000,"🟡 High",IF(I14&gt;500000,"🟢 Medium","🟢 Low")))</f>
        <v>🔴 Very High</v>
      </c>
      <c r="E122" s="223" t="str">
        <f>IF(I23&gt;0.09,"🟢 Strong",IF(I23&gt;0.07,"🟢 Good",IF(I23&gt;0.05,"🟡 Fair","🔴 Weak")))</f>
        <v>🟢 Strong</v>
      </c>
      <c r="F122" s="223" t="str">
        <f>IF(I33&gt;500000,"🔴 Severe",IF(I33&gt;300000,"🟡 Moderate",IF(I33&gt;0,"🟢 Minor","🟢 None")))</f>
        <v>🟢 None</v>
      </c>
      <c r="G122" s="223">
        <f t="shared" si="5"/>
        <v>2</v>
      </c>
      <c r="H122" s="224" t="str">
        <f t="shared" si="6"/>
        <v>✅ Favorable</v>
      </c>
      <c r="I122" s="187"/>
    </row>
    <row r="124" spans="1:9" x14ac:dyDescent="0.2">
      <c r="A124" s="145" t="s">
        <v>282</v>
      </c>
      <c r="B124" s="144" t="s">
        <v>283</v>
      </c>
      <c r="C124" s="144"/>
      <c r="D124" s="144" t="s">
        <v>284</v>
      </c>
      <c r="E124" s="144"/>
      <c r="F124" s="144" t="s">
        <v>285</v>
      </c>
      <c r="G124" s="144" t="s">
        <v>286</v>
      </c>
      <c r="H124" s="144"/>
    </row>
  </sheetData>
  <mergeCells count="1">
    <mergeCell ref="A115:I115"/>
  </mergeCells>
  <conditionalFormatting sqref="D37:D42">
    <cfRule type="cellIs" dxfId="11" priority="4" operator="greaterThan">
      <formula>0</formula>
    </cfRule>
    <cfRule type="cellIs" dxfId="10" priority="5" operator="lessThan">
      <formula>0</formula>
    </cfRule>
  </conditionalFormatting>
  <conditionalFormatting sqref="G117:G122">
    <cfRule type="cellIs" dxfId="9" priority="1" operator="greaterThanOrEqual">
      <formula>6</formula>
    </cfRule>
    <cfRule type="cellIs" dxfId="8" priority="2" operator="between">
      <formula>4</formula>
      <formula>5</formula>
    </cfRule>
    <cfRule type="cellIs" dxfId="7" priority="3" operator="lessThanOrEqual">
      <formula>3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8815-E13F-9249-BB55-244584805E26}">
  <dimension ref="A1:N38"/>
  <sheetViews>
    <sheetView workbookViewId="0">
      <selection activeCell="C4" sqref="C4"/>
    </sheetView>
  </sheetViews>
  <sheetFormatPr baseColWidth="10" defaultRowHeight="16" x14ac:dyDescent="0.2"/>
  <cols>
    <col min="3" max="3" width="25" customWidth="1"/>
    <col min="4" max="10" width="16.6640625" customWidth="1"/>
  </cols>
  <sheetData>
    <row r="1" spans="1:14" ht="22" x14ac:dyDescent="0.3">
      <c r="A1" s="137" t="s">
        <v>203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 x14ac:dyDescent="0.2">
      <c r="A3" s="104" t="s">
        <v>204</v>
      </c>
      <c r="B3" s="4"/>
      <c r="C3" s="4"/>
      <c r="D3" s="4"/>
      <c r="F3" s="104" t="s">
        <v>205</v>
      </c>
      <c r="G3" s="4"/>
      <c r="H3" s="4"/>
      <c r="L3" s="145" t="s">
        <v>214</v>
      </c>
    </row>
    <row r="4" spans="1:14" ht="19" x14ac:dyDescent="0.25">
      <c r="A4" s="125" t="s">
        <v>206</v>
      </c>
      <c r="C4" s="138" t="s">
        <v>35</v>
      </c>
      <c r="F4" s="119" t="s">
        <v>207</v>
      </c>
      <c r="H4" s="139" cm="1">
        <f t="array" ref="H4">INDEX(Assumptions!C34:H34,C5)</f>
        <v>0.04</v>
      </c>
      <c r="L4" s="144" t="s">
        <v>215</v>
      </c>
      <c r="N4" s="146">
        <f>C6*Assumptions!C22</f>
        <v>2925000</v>
      </c>
    </row>
    <row r="5" spans="1:14" x14ac:dyDescent="0.2">
      <c r="A5" s="119" t="s">
        <v>208</v>
      </c>
      <c r="C5" s="119">
        <f>MATCH(C4,{"HDB 1984","Condo 99LH","FH Condo","HDB 2005","HDB 2015","FH Landed (Prime)"},0)</f>
        <v>3</v>
      </c>
      <c r="F5" s="119" t="s">
        <v>209</v>
      </c>
      <c r="H5" s="165" cm="1">
        <f t="array" ref="H5">INDEX('Scenario Tables'!C27:H27,C5)</f>
        <v>1.6709999999999999E-2</v>
      </c>
      <c r="L5" s="144" t="s">
        <v>216</v>
      </c>
      <c r="N5" s="143" t="str" cm="1">
        <f t="array" ref="N5">INDEX(Assumptions!C33:H33,C5)</f>
        <v>Freehold</v>
      </c>
    </row>
    <row r="6" spans="1:14" x14ac:dyDescent="0.2">
      <c r="A6" s="119" t="s">
        <v>210</v>
      </c>
      <c r="C6" s="133" cm="1">
        <f t="array" ref="C6">INDEX(Assumptions!C31:H31,C5)</f>
        <v>3900000</v>
      </c>
      <c r="F6" s="119" t="s">
        <v>211</v>
      </c>
      <c r="H6" s="139">
        <f>Assumptions!C54</f>
        <v>5.5E-2</v>
      </c>
      <c r="L6" s="144" t="s">
        <v>217</v>
      </c>
      <c r="N6" s="147">
        <f>IF(OR(N5="Freehold",N5&gt;=900),1,INDEX('Bala Table'!B:B,MATCH(N5-20,'Bala Table'!A:A,-1)))</f>
        <v>1</v>
      </c>
    </row>
    <row r="7" spans="1:14" x14ac:dyDescent="0.2">
      <c r="L7" s="144" t="s">
        <v>218</v>
      </c>
      <c r="N7" s="147">
        <f>IF(OR(N5="Freehold",N5&gt;=900),1,INDEX('Bala Table'!B:B,MATCH(N5,'Bala Table'!A:A,-1)))</f>
        <v>1</v>
      </c>
    </row>
    <row r="8" spans="1:14" x14ac:dyDescent="0.2">
      <c r="L8" s="144" t="s">
        <v>219</v>
      </c>
      <c r="N8" s="143">
        <f>Assumptions!C26</f>
        <v>30</v>
      </c>
    </row>
    <row r="9" spans="1:14" x14ac:dyDescent="0.2">
      <c r="A9" s="104" t="s">
        <v>212</v>
      </c>
      <c r="B9" s="4"/>
      <c r="C9" s="4"/>
      <c r="D9" s="4"/>
      <c r="E9" s="4"/>
      <c r="F9" s="4"/>
      <c r="G9" s="4"/>
      <c r="H9" s="4"/>
      <c r="I9" s="4"/>
      <c r="J9" s="4"/>
      <c r="L9" s="144" t="s">
        <v>220</v>
      </c>
      <c r="N9" s="146">
        <f>Assumptions!C8*((1+Assumptions!C9)^20-1)+Assumptions!C8*((1+Assumptions!C9)^20-1)</f>
        <v>191584.93208711865</v>
      </c>
    </row>
    <row r="10" spans="1:14" ht="17" thickBot="1" x14ac:dyDescent="0.25">
      <c r="A10" s="140" t="s">
        <v>213</v>
      </c>
      <c r="C10" s="148" t="s">
        <v>223</v>
      </c>
      <c r="D10" s="141" t="s">
        <v>158</v>
      </c>
      <c r="E10" s="142"/>
      <c r="F10" s="142"/>
      <c r="G10" s="142"/>
      <c r="H10" s="142"/>
      <c r="I10" s="142"/>
      <c r="J10" s="142"/>
      <c r="L10" s="144" t="s">
        <v>221</v>
      </c>
      <c r="N10" s="146" cm="1">
        <f t="array" ref="N10">C6*Assumptions!C24+INDEX(Assumptions!C49:H49,C5)+Assumptions!C8</f>
        <v>969000</v>
      </c>
    </row>
    <row r="11" spans="1:14" x14ac:dyDescent="0.2">
      <c r="C11" s="154" t="s">
        <v>222</v>
      </c>
      <c r="D11" s="152">
        <v>1.4999999999999999E-2</v>
      </c>
      <c r="E11" s="152">
        <v>0.02</v>
      </c>
      <c r="F11" s="152">
        <v>2.5000000000000001E-2</v>
      </c>
      <c r="G11" s="152">
        <v>0.03</v>
      </c>
      <c r="H11" s="152">
        <v>3.5000000000000003E-2</v>
      </c>
      <c r="I11" s="152">
        <v>0.04</v>
      </c>
      <c r="J11" s="157">
        <v>0.05</v>
      </c>
      <c r="L11" s="144" t="s">
        <v>224</v>
      </c>
      <c r="N11" s="149">
        <f>CHOOSE(C5,'HDB 1984'!N35,'Condo 99LH'!N35,'FH Condo'!N35,'HDB 2005'!N35,'HDB 2015'!N35,'FH Landed (Prime)'!N35)</f>
        <v>1227977.6625044805</v>
      </c>
    </row>
    <row r="12" spans="1:14" x14ac:dyDescent="0.2">
      <c r="C12" s="155">
        <v>-0.01</v>
      </c>
      <c r="D12" s="150">
        <f>(($C$6/$N$7)*(1+$C12)^20*$N$6)-(PV(D$11/12,($N$8-20)*12,-PMT(D$11/12,$N$8*12,-$N$4)))-$N$9</f>
        <v>1874006.9366424405</v>
      </c>
      <c r="E12" s="150">
        <f t="shared" ref="E12:J18" si="0">(($C$6/$N$7)*(1+$C12)^20*$N$6)-(PV(E$11/12,($N$8-20)*12,-PMT(E$11/12,$N$8*12,-$N$4)))-$N$9</f>
        <v>1823275.0831795034</v>
      </c>
      <c r="F12" s="150">
        <f t="shared" si="0"/>
        <v>1772273.728307768</v>
      </c>
      <c r="G12" s="150">
        <f t="shared" si="0"/>
        <v>1721137.078970989</v>
      </c>
      <c r="H12" s="150">
        <f t="shared" si="0"/>
        <v>1669997.900199224</v>
      </c>
      <c r="I12" s="150">
        <f t="shared" si="0"/>
        <v>1618986.1523209307</v>
      </c>
      <c r="J12" s="158">
        <f t="shared" si="0"/>
        <v>1517843.3000799355</v>
      </c>
      <c r="N12" t="s">
        <v>33</v>
      </c>
    </row>
    <row r="13" spans="1:14" x14ac:dyDescent="0.2">
      <c r="C13" s="155">
        <v>0</v>
      </c>
      <c r="D13" s="150">
        <f t="shared" ref="D13:D18" si="1">(($C$6/$N$7)*(1+$C13)^20*$N$6)-(PV(D$11/12,($N$8-20)*12,-PMT(D$11/12,$N$8*12,-$N$4)))-$N$9</f>
        <v>2584169.880013241</v>
      </c>
      <c r="E13" s="150">
        <f t="shared" si="0"/>
        <v>2533438.0265503041</v>
      </c>
      <c r="F13" s="150">
        <f t="shared" si="0"/>
        <v>2482436.6716785682</v>
      </c>
      <c r="G13" s="150">
        <f t="shared" si="0"/>
        <v>2431300.0223417897</v>
      </c>
      <c r="H13" s="150">
        <f t="shared" si="0"/>
        <v>2380160.8435700247</v>
      </c>
      <c r="I13" s="150">
        <f t="shared" si="0"/>
        <v>2329149.0956917312</v>
      </c>
      <c r="J13" s="158">
        <f t="shared" si="0"/>
        <v>2228006.2434507357</v>
      </c>
      <c r="N13" t="s">
        <v>34</v>
      </c>
    </row>
    <row r="14" spans="1:14" x14ac:dyDescent="0.2">
      <c r="C14" s="155">
        <v>0.02</v>
      </c>
      <c r="D14" s="150">
        <f t="shared" si="1"/>
        <v>4479364.7243288225</v>
      </c>
      <c r="E14" s="150">
        <f t="shared" si="0"/>
        <v>4428632.8708658861</v>
      </c>
      <c r="F14" s="150">
        <f t="shared" si="0"/>
        <v>4377631.5159941502</v>
      </c>
      <c r="G14" s="150">
        <f t="shared" si="0"/>
        <v>4326494.8666573716</v>
      </c>
      <c r="H14" s="150">
        <f t="shared" si="0"/>
        <v>4275355.6878856067</v>
      </c>
      <c r="I14" s="150">
        <f t="shared" si="0"/>
        <v>4224343.9400073132</v>
      </c>
      <c r="J14" s="158">
        <f t="shared" si="0"/>
        <v>4123201.0877663177</v>
      </c>
      <c r="N14" t="s">
        <v>35</v>
      </c>
    </row>
    <row r="15" spans="1:14" x14ac:dyDescent="0.2">
      <c r="C15" s="155">
        <v>0.03</v>
      </c>
      <c r="D15" s="150">
        <f t="shared" si="1"/>
        <v>5728003.6952239526</v>
      </c>
      <c r="E15" s="150">
        <f t="shared" si="0"/>
        <v>5677271.8417610163</v>
      </c>
      <c r="F15" s="150">
        <f t="shared" si="0"/>
        <v>5626270.4868892804</v>
      </c>
      <c r="G15" s="150">
        <f t="shared" si="0"/>
        <v>5575133.8375525018</v>
      </c>
      <c r="H15" s="150">
        <f t="shared" si="0"/>
        <v>5523994.6587807368</v>
      </c>
      <c r="I15" s="150">
        <f t="shared" si="0"/>
        <v>5472982.9109024433</v>
      </c>
      <c r="J15" s="158">
        <f t="shared" si="0"/>
        <v>5371840.0586614478</v>
      </c>
      <c r="N15" t="s">
        <v>140</v>
      </c>
    </row>
    <row r="16" spans="1:14" x14ac:dyDescent="0.2">
      <c r="C16" s="155">
        <v>0.05</v>
      </c>
      <c r="D16" s="151">
        <f t="shared" si="1"/>
        <v>9032030.9300764836</v>
      </c>
      <c r="E16" s="151">
        <f t="shared" si="0"/>
        <v>8981299.0766135454</v>
      </c>
      <c r="F16" s="150">
        <f t="shared" si="0"/>
        <v>8930297.7217418104</v>
      </c>
      <c r="G16" s="150">
        <f t="shared" si="0"/>
        <v>8879161.072405031</v>
      </c>
      <c r="H16" s="150">
        <f t="shared" si="0"/>
        <v>8828021.8936332669</v>
      </c>
      <c r="I16" s="150">
        <f t="shared" si="0"/>
        <v>8777010.1457549725</v>
      </c>
      <c r="J16" s="158">
        <f t="shared" si="0"/>
        <v>8675867.2935139779</v>
      </c>
      <c r="N16" t="s">
        <v>141</v>
      </c>
    </row>
    <row r="17" spans="3:14" x14ac:dyDescent="0.2">
      <c r="C17" s="155">
        <v>7.0000000000000007E-2</v>
      </c>
      <c r="D17" s="150">
        <f t="shared" si="1"/>
        <v>13775939.283709342</v>
      </c>
      <c r="E17" s="150">
        <f t="shared" si="0"/>
        <v>13725207.430246403</v>
      </c>
      <c r="F17" s="150">
        <f t="shared" si="0"/>
        <v>13674206.075374668</v>
      </c>
      <c r="G17" s="150">
        <f t="shared" si="0"/>
        <v>13623069.426037889</v>
      </c>
      <c r="H17" s="150">
        <f t="shared" si="0"/>
        <v>13571930.247266125</v>
      </c>
      <c r="I17" s="150">
        <f t="shared" si="0"/>
        <v>13520918.499387832</v>
      </c>
      <c r="J17" s="158">
        <f t="shared" si="0"/>
        <v>13419775.647146836</v>
      </c>
      <c r="N17" t="s">
        <v>146</v>
      </c>
    </row>
    <row r="18" spans="3:14" ht="17" thickBot="1" x14ac:dyDescent="0.25">
      <c r="C18" s="156">
        <v>0.1</v>
      </c>
      <c r="D18" s="153">
        <f t="shared" si="1"/>
        <v>24921419.682383113</v>
      </c>
      <c r="E18" s="153">
        <f t="shared" si="0"/>
        <v>24870687.828920178</v>
      </c>
      <c r="F18" s="153">
        <f t="shared" si="0"/>
        <v>24819686.474048443</v>
      </c>
      <c r="G18" s="153">
        <f t="shared" si="0"/>
        <v>24768549.824711662</v>
      </c>
      <c r="H18" s="153">
        <f t="shared" si="0"/>
        <v>24717410.645939898</v>
      </c>
      <c r="I18" s="153">
        <f t="shared" si="0"/>
        <v>24666398.898061603</v>
      </c>
      <c r="J18" s="159">
        <f t="shared" si="0"/>
        <v>24565256.045820609</v>
      </c>
    </row>
    <row r="20" spans="3:14" ht="17" thickBot="1" x14ac:dyDescent="0.25">
      <c r="C20" s="148" t="s">
        <v>225</v>
      </c>
    </row>
    <row r="21" spans="3:14" x14ac:dyDescent="0.2">
      <c r="C21" s="154" t="s">
        <v>226</v>
      </c>
      <c r="D21" s="152">
        <v>1.4999999999999999E-2</v>
      </c>
      <c r="E21" s="152">
        <v>0.02</v>
      </c>
      <c r="F21" s="152">
        <v>2.5000000000000001E-2</v>
      </c>
      <c r="G21" s="152">
        <v>0.03</v>
      </c>
      <c r="H21" s="152">
        <v>3.5000000000000003E-2</v>
      </c>
      <c r="I21" s="152">
        <v>0.04</v>
      </c>
      <c r="J21" s="157">
        <v>0.05</v>
      </c>
    </row>
    <row r="22" spans="3:14" x14ac:dyDescent="0.2">
      <c r="C22" s="155">
        <v>-0.01</v>
      </c>
      <c r="D22" s="150">
        <f>D12+$N$11</f>
        <v>3101984.5991469212</v>
      </c>
      <c r="E22" s="150">
        <f t="shared" ref="E22:J22" si="2">E12+$N$11</f>
        <v>3051252.7456839839</v>
      </c>
      <c r="F22" s="150">
        <f t="shared" si="2"/>
        <v>3000251.3908122485</v>
      </c>
      <c r="G22" s="150">
        <f t="shared" si="2"/>
        <v>2949114.7414754694</v>
      </c>
      <c r="H22" s="150">
        <f t="shared" si="2"/>
        <v>2897975.5627037045</v>
      </c>
      <c r="I22" s="150">
        <f t="shared" si="2"/>
        <v>2846963.814825411</v>
      </c>
      <c r="J22" s="158">
        <f t="shared" si="2"/>
        <v>2745820.9625844159</v>
      </c>
    </row>
    <row r="23" spans="3:14" x14ac:dyDescent="0.2">
      <c r="C23" s="155">
        <v>0</v>
      </c>
      <c r="D23" s="150">
        <f t="shared" ref="D23:J23" si="3">D13+$N$11</f>
        <v>3812147.5425177217</v>
      </c>
      <c r="E23" s="150">
        <f t="shared" si="3"/>
        <v>3761415.6890547844</v>
      </c>
      <c r="F23" s="150">
        <f t="shared" si="3"/>
        <v>3710414.3341830485</v>
      </c>
      <c r="G23" s="150">
        <f t="shared" si="3"/>
        <v>3659277.6848462699</v>
      </c>
      <c r="H23" s="150">
        <f t="shared" si="3"/>
        <v>3608138.5060745049</v>
      </c>
      <c r="I23" s="150">
        <f t="shared" si="3"/>
        <v>3557126.7581962114</v>
      </c>
      <c r="J23" s="158">
        <f t="shared" si="3"/>
        <v>3455983.9059552159</v>
      </c>
    </row>
    <row r="24" spans="3:14" x14ac:dyDescent="0.2">
      <c r="C24" s="155">
        <v>0.02</v>
      </c>
      <c r="D24" s="150">
        <f t="shared" ref="D24:J24" si="4">D14+$N$11</f>
        <v>5707342.3868333027</v>
      </c>
      <c r="E24" s="150">
        <f t="shared" si="4"/>
        <v>5656610.5333703663</v>
      </c>
      <c r="F24" s="150">
        <f t="shared" si="4"/>
        <v>5605609.1784986304</v>
      </c>
      <c r="G24" s="150">
        <f t="shared" si="4"/>
        <v>5554472.5291618519</v>
      </c>
      <c r="H24" s="150">
        <f t="shared" si="4"/>
        <v>5503333.3503900869</v>
      </c>
      <c r="I24" s="150">
        <f t="shared" si="4"/>
        <v>5452321.6025117934</v>
      </c>
      <c r="J24" s="158">
        <f t="shared" si="4"/>
        <v>5351178.7502707979</v>
      </c>
    </row>
    <row r="25" spans="3:14" x14ac:dyDescent="0.2">
      <c r="C25" s="155">
        <v>0.03</v>
      </c>
      <c r="D25" s="150">
        <f t="shared" ref="D25:J25" si="5">D15+$N$11</f>
        <v>6955981.3577284329</v>
      </c>
      <c r="E25" s="150">
        <f t="shared" si="5"/>
        <v>6905249.5042654965</v>
      </c>
      <c r="F25" s="150">
        <f t="shared" si="5"/>
        <v>6854248.1493937606</v>
      </c>
      <c r="G25" s="150">
        <f t="shared" si="5"/>
        <v>6803111.500056982</v>
      </c>
      <c r="H25" s="150">
        <f t="shared" si="5"/>
        <v>6751972.3212852171</v>
      </c>
      <c r="I25" s="150">
        <f t="shared" si="5"/>
        <v>6700960.5734069236</v>
      </c>
      <c r="J25" s="158">
        <f t="shared" si="5"/>
        <v>6599817.7211659281</v>
      </c>
    </row>
    <row r="26" spans="3:14" x14ac:dyDescent="0.2">
      <c r="C26" s="155">
        <v>0.05</v>
      </c>
      <c r="D26" s="151">
        <f t="shared" ref="D26:J26" si="6">D16+$N$11</f>
        <v>10260008.592580965</v>
      </c>
      <c r="E26" s="151">
        <f t="shared" si="6"/>
        <v>10209276.739118027</v>
      </c>
      <c r="F26" s="150">
        <f t="shared" si="6"/>
        <v>10158275.384246292</v>
      </c>
      <c r="G26" s="150">
        <f t="shared" si="6"/>
        <v>10107138.734909512</v>
      </c>
      <c r="H26" s="150">
        <f t="shared" si="6"/>
        <v>10055999.556137748</v>
      </c>
      <c r="I26" s="150">
        <f t="shared" si="6"/>
        <v>10004987.808259454</v>
      </c>
      <c r="J26" s="158">
        <f t="shared" si="6"/>
        <v>9903844.9560184591</v>
      </c>
    </row>
    <row r="27" spans="3:14" x14ac:dyDescent="0.2">
      <c r="C27" s="155">
        <v>7.0000000000000007E-2</v>
      </c>
      <c r="D27" s="150">
        <f t="shared" ref="D27:J27" si="7">D17+$N$11</f>
        <v>15003916.946213823</v>
      </c>
      <c r="E27" s="150">
        <f t="shared" si="7"/>
        <v>14953185.092750885</v>
      </c>
      <c r="F27" s="150">
        <f t="shared" si="7"/>
        <v>14902183.73787915</v>
      </c>
      <c r="G27" s="150">
        <f t="shared" si="7"/>
        <v>14851047.08854237</v>
      </c>
      <c r="H27" s="150">
        <f t="shared" si="7"/>
        <v>14799907.909770606</v>
      </c>
      <c r="I27" s="150">
        <f t="shared" si="7"/>
        <v>14748896.161892314</v>
      </c>
      <c r="J27" s="158">
        <f t="shared" si="7"/>
        <v>14647753.309651317</v>
      </c>
    </row>
    <row r="28" spans="3:14" ht="17" thickBot="1" x14ac:dyDescent="0.25">
      <c r="C28" s="156">
        <v>0.1</v>
      </c>
      <c r="D28" s="153">
        <f t="shared" ref="D28:J28" si="8">D18+$N$11</f>
        <v>26149397.344887592</v>
      </c>
      <c r="E28" s="153">
        <f t="shared" si="8"/>
        <v>26098665.491424657</v>
      </c>
      <c r="F28" s="153">
        <f t="shared" si="8"/>
        <v>26047664.136552922</v>
      </c>
      <c r="G28" s="153">
        <f t="shared" si="8"/>
        <v>25996527.487216141</v>
      </c>
      <c r="H28" s="153">
        <f t="shared" si="8"/>
        <v>25945388.308444377</v>
      </c>
      <c r="I28" s="153">
        <f t="shared" si="8"/>
        <v>25894376.560566083</v>
      </c>
      <c r="J28" s="159">
        <f t="shared" si="8"/>
        <v>25793233.708325088</v>
      </c>
    </row>
    <row r="30" spans="3:14" ht="17" thickBot="1" x14ac:dyDescent="0.25">
      <c r="C30" s="148" t="s">
        <v>227</v>
      </c>
    </row>
    <row r="31" spans="3:14" x14ac:dyDescent="0.2">
      <c r="C31" s="154" t="s">
        <v>228</v>
      </c>
      <c r="D31" s="152">
        <v>0.03</v>
      </c>
      <c r="E31" s="152">
        <v>0.04</v>
      </c>
      <c r="F31" s="152">
        <v>0.05</v>
      </c>
      <c r="G31" s="152">
        <v>0.06</v>
      </c>
      <c r="H31" s="152">
        <v>7.0000000000000007E-2</v>
      </c>
      <c r="I31" s="152">
        <v>0.08</v>
      </c>
      <c r="J31" s="157">
        <v>0.1</v>
      </c>
    </row>
    <row r="32" spans="3:14" x14ac:dyDescent="0.2">
      <c r="C32" s="155">
        <v>-0.01</v>
      </c>
      <c r="D32" s="160">
        <f>(($C$6/$N$7)*(1+$C32)^20*$N$6)-(PV($H$5/12,($N$8-20)*12,-PMT($H$5/12,$N$8*12,-$N$4)))-$N$9+$N$11-$N$10*(1+D$31)^20</f>
        <v>1334551.2048762266</v>
      </c>
      <c r="E32" s="160">
        <f t="shared" ref="E32:J38" si="9">(($C$6/$N$7)*(1+$C32)^20*$N$6)-(PV($H$5/12,($N$8-20)*12,-PMT($H$5/12,$N$8*12,-$N$4)))-$N$9+$N$11-$N$10*(1+E$31)^20</f>
        <v>961474.66567150271</v>
      </c>
      <c r="F32" s="160">
        <f t="shared" si="9"/>
        <v>513627.51498594414</v>
      </c>
      <c r="G32" s="160">
        <f t="shared" si="9"/>
        <v>-23041.281303361524</v>
      </c>
      <c r="H32" s="160">
        <f t="shared" si="9"/>
        <v>-665051.25287821982</v>
      </c>
      <c r="I32" s="160">
        <f t="shared" si="9"/>
        <v>-1431794.4811190902</v>
      </c>
      <c r="J32" s="163">
        <f t="shared" si="9"/>
        <v>-3434274.4596256274</v>
      </c>
    </row>
    <row r="33" spans="3:10" x14ac:dyDescent="0.2">
      <c r="C33" s="155">
        <v>0</v>
      </c>
      <c r="D33" s="160">
        <f t="shared" ref="D33:D38" si="10">(($C$6/$N$7)*(1+$C33)^20*$N$6)-(PV($H$5/12,($N$8-20)*12,-PMT($H$5/12,$N$8*12,-$N$4)))-$N$9+$N$11-$N$10*(1+D$31)^20</f>
        <v>2044714.1482470266</v>
      </c>
      <c r="E33" s="160">
        <f t="shared" si="9"/>
        <v>1671637.6090423027</v>
      </c>
      <c r="F33" s="160">
        <f t="shared" si="9"/>
        <v>1223790.4583567441</v>
      </c>
      <c r="G33" s="160">
        <f t="shared" si="9"/>
        <v>687121.66206743848</v>
      </c>
      <c r="H33" s="160">
        <f t="shared" si="9"/>
        <v>45111.690492580179</v>
      </c>
      <c r="I33" s="160">
        <f t="shared" si="9"/>
        <v>-721631.53774829023</v>
      </c>
      <c r="J33" s="163">
        <f t="shared" si="9"/>
        <v>-2724111.5162548274</v>
      </c>
    </row>
    <row r="34" spans="3:10" x14ac:dyDescent="0.2">
      <c r="C34" s="155">
        <v>0.02</v>
      </c>
      <c r="D34" s="160">
        <f t="shared" si="10"/>
        <v>3939908.9925626088</v>
      </c>
      <c r="E34" s="160">
        <f t="shared" si="9"/>
        <v>3566832.4533578847</v>
      </c>
      <c r="F34" s="160">
        <f t="shared" si="9"/>
        <v>3118985.3026723261</v>
      </c>
      <c r="G34" s="160">
        <f t="shared" si="9"/>
        <v>2582316.5063830204</v>
      </c>
      <c r="H34" s="160">
        <f t="shared" si="9"/>
        <v>1940306.5348081621</v>
      </c>
      <c r="I34" s="160">
        <f t="shared" si="9"/>
        <v>1173563.3065672917</v>
      </c>
      <c r="J34" s="163">
        <f t="shared" si="9"/>
        <v>-828916.67193924543</v>
      </c>
    </row>
    <row r="35" spans="3:10" x14ac:dyDescent="0.2">
      <c r="C35" s="155">
        <v>0.03</v>
      </c>
      <c r="D35" s="160">
        <f t="shared" si="10"/>
        <v>5188547.963457739</v>
      </c>
      <c r="E35" s="160">
        <f t="shared" si="9"/>
        <v>4815471.4242530148</v>
      </c>
      <c r="F35" s="160">
        <f t="shared" si="9"/>
        <v>4367624.2735674568</v>
      </c>
      <c r="G35" s="160">
        <f t="shared" si="9"/>
        <v>3830955.4772781506</v>
      </c>
      <c r="H35" s="160">
        <f t="shared" si="9"/>
        <v>3188945.5057032923</v>
      </c>
      <c r="I35" s="160">
        <f t="shared" si="9"/>
        <v>2422202.2774624219</v>
      </c>
      <c r="J35" s="163">
        <f t="shared" si="9"/>
        <v>419722.29895588476</v>
      </c>
    </row>
    <row r="36" spans="3:10" x14ac:dyDescent="0.2">
      <c r="C36" s="155">
        <v>0.05</v>
      </c>
      <c r="D36" s="160">
        <f t="shared" si="10"/>
        <v>8492575.1983102709</v>
      </c>
      <c r="E36" s="160">
        <f t="shared" si="9"/>
        <v>8119498.6591055468</v>
      </c>
      <c r="F36" s="161">
        <f t="shared" si="9"/>
        <v>7671651.5084199887</v>
      </c>
      <c r="G36" s="160">
        <f t="shared" si="9"/>
        <v>7134982.7121306825</v>
      </c>
      <c r="H36" s="160">
        <f t="shared" si="9"/>
        <v>6492972.7405558247</v>
      </c>
      <c r="I36" s="160">
        <f t="shared" si="9"/>
        <v>5726229.5123149538</v>
      </c>
      <c r="J36" s="163">
        <f t="shared" si="9"/>
        <v>3723749.5338084167</v>
      </c>
    </row>
    <row r="37" spans="3:10" x14ac:dyDescent="0.2">
      <c r="C37" s="155">
        <v>7.0000000000000007E-2</v>
      </c>
      <c r="D37" s="160">
        <f t="shared" si="10"/>
        <v>13236483.551943129</v>
      </c>
      <c r="E37" s="160">
        <f t="shared" si="9"/>
        <v>12863407.012738405</v>
      </c>
      <c r="F37" s="160">
        <f t="shared" si="9"/>
        <v>12415559.862052847</v>
      </c>
      <c r="G37" s="160">
        <f t="shared" si="9"/>
        <v>11878891.065763541</v>
      </c>
      <c r="H37" s="160">
        <f t="shared" si="9"/>
        <v>11236881.094188683</v>
      </c>
      <c r="I37" s="160">
        <f t="shared" si="9"/>
        <v>10470137.865947813</v>
      </c>
      <c r="J37" s="163">
        <f t="shared" si="9"/>
        <v>8467657.8874412738</v>
      </c>
    </row>
    <row r="38" spans="3:10" ht="17" thickBot="1" x14ac:dyDescent="0.25">
      <c r="C38" s="156">
        <v>0.1</v>
      </c>
      <c r="D38" s="162">
        <f t="shared" si="10"/>
        <v>24381963.950616896</v>
      </c>
      <c r="E38" s="162">
        <f t="shared" si="9"/>
        <v>24008887.411412172</v>
      </c>
      <c r="F38" s="162">
        <f t="shared" si="9"/>
        <v>23561040.260726616</v>
      </c>
      <c r="G38" s="162">
        <f t="shared" si="9"/>
        <v>23024371.46443731</v>
      </c>
      <c r="H38" s="162">
        <f t="shared" si="9"/>
        <v>22382361.492862452</v>
      </c>
      <c r="I38" s="162">
        <f t="shared" si="9"/>
        <v>21615618.264621582</v>
      </c>
      <c r="J38" s="164">
        <f t="shared" si="9"/>
        <v>19613138.286115043</v>
      </c>
    </row>
  </sheetData>
  <conditionalFormatting sqref="D32:J38">
    <cfRule type="cellIs" dxfId="6" priority="1" operator="lessThan">
      <formula>0</formula>
    </cfRule>
    <cfRule type="cellIs" dxfId="5" priority="2" operator="greaterThanOrEqual">
      <formula>0</formula>
    </cfRule>
  </conditionalFormatting>
  <dataValidations count="1">
    <dataValidation type="list" allowBlank="1" showInputMessage="1" showErrorMessage="1" sqref="C4" xr:uid="{3DCCAD61-435C-CE40-B7BE-841DD26D2796}">
      <formula1>"HDB 1984,Condo 99LH,FH Condo,HDB 2005,HDB 2015,FH Landed (Prime)"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7718-1994-284D-8F3A-364F3E95BE2A}">
  <sheetPr>
    <tabColor rgb="FF4472C4"/>
  </sheetPr>
  <dimension ref="A1:I38"/>
  <sheetViews>
    <sheetView workbookViewId="0">
      <selection activeCell="B15" sqref="B15"/>
    </sheetView>
  </sheetViews>
  <sheetFormatPr baseColWidth="10" defaultRowHeight="16" x14ac:dyDescent="0.2"/>
  <cols>
    <col min="1" max="1" width="21.6640625" customWidth="1"/>
    <col min="3" max="3" width="20" customWidth="1"/>
    <col min="4" max="4" width="40" customWidth="1"/>
    <col min="5" max="8" width="20" customWidth="1"/>
  </cols>
  <sheetData>
    <row r="1" spans="1:9" ht="19" x14ac:dyDescent="0.25">
      <c r="A1" s="71" t="s">
        <v>152</v>
      </c>
      <c r="B1" s="2"/>
      <c r="C1" s="2"/>
      <c r="D1" s="2"/>
      <c r="E1" s="2"/>
      <c r="F1" s="2"/>
      <c r="G1" s="2"/>
      <c r="H1" s="2"/>
      <c r="I1" s="2"/>
    </row>
    <row r="3" spans="1:9" x14ac:dyDescent="0.2">
      <c r="A3" s="59" t="s">
        <v>153</v>
      </c>
      <c r="B3" s="59"/>
      <c r="C3" s="59"/>
      <c r="D3" s="59"/>
      <c r="E3" s="59"/>
      <c r="F3" s="59"/>
      <c r="G3" s="59"/>
      <c r="H3" s="59"/>
      <c r="I3" s="59"/>
    </row>
    <row r="4" spans="1:9" x14ac:dyDescent="0.2">
      <c r="A4" s="112" t="s">
        <v>154</v>
      </c>
      <c r="B4" s="111" t="s">
        <v>155</v>
      </c>
      <c r="C4" s="111" t="s">
        <v>33</v>
      </c>
      <c r="D4" s="111" t="s">
        <v>34</v>
      </c>
      <c r="E4" s="111" t="s">
        <v>35</v>
      </c>
      <c r="F4" s="111" t="s">
        <v>140</v>
      </c>
      <c r="G4" s="111" t="s">
        <v>141</v>
      </c>
      <c r="H4" s="111" t="s">
        <v>146</v>
      </c>
    </row>
    <row r="5" spans="1:9" x14ac:dyDescent="0.2">
      <c r="A5" s="113" t="s">
        <v>156</v>
      </c>
      <c r="B5" s="107" t="str">
        <f>IF(Assumptions!B34="Pessimistic","✔","")</f>
        <v/>
      </c>
      <c r="C5" s="108">
        <v>0.01</v>
      </c>
      <c r="D5" s="108">
        <v>0.01</v>
      </c>
      <c r="E5" s="108">
        <v>0.01</v>
      </c>
      <c r="F5" s="108">
        <v>0.01</v>
      </c>
      <c r="G5" s="108">
        <v>0.01</v>
      </c>
      <c r="H5" s="108">
        <v>0.01</v>
      </c>
    </row>
    <row r="6" spans="1:9" x14ac:dyDescent="0.2">
      <c r="A6" s="113" t="s">
        <v>19</v>
      </c>
      <c r="B6" s="107" t="str">
        <f>IF(Assumptions!B34="Base","✔","")</f>
        <v/>
      </c>
      <c r="C6" s="108">
        <v>2.5000000000000001E-2</v>
      </c>
      <c r="D6" s="108">
        <v>2.5000000000000001E-2</v>
      </c>
      <c r="E6" s="108">
        <v>2.5000000000000001E-2</v>
      </c>
      <c r="F6" s="108">
        <v>2.5000000000000001E-2</v>
      </c>
      <c r="G6" s="108">
        <v>2.5000000000000001E-2</v>
      </c>
      <c r="H6" s="108">
        <v>2.5000000000000001E-2</v>
      </c>
    </row>
    <row r="7" spans="1:9" x14ac:dyDescent="0.2">
      <c r="A7" s="113" t="s">
        <v>150</v>
      </c>
      <c r="B7" s="107" t="str">
        <f>IF(Assumptions!B34="Optimistic","✔","")</f>
        <v/>
      </c>
      <c r="C7" s="108">
        <v>0.04</v>
      </c>
      <c r="D7" s="108">
        <v>0.04</v>
      </c>
      <c r="E7" s="108">
        <v>0.04</v>
      </c>
      <c r="F7" s="108">
        <v>0.04</v>
      </c>
      <c r="G7" s="108">
        <v>0.04</v>
      </c>
      <c r="H7" s="108">
        <v>0.04</v>
      </c>
    </row>
    <row r="8" spans="1:9" x14ac:dyDescent="0.2">
      <c r="A8" s="114" t="s">
        <v>151</v>
      </c>
      <c r="B8" s="109" t="str">
        <f>IF(Assumptions!B34="Custom","✔","")</f>
        <v>✔</v>
      </c>
      <c r="C8" s="110">
        <v>0.02</v>
      </c>
      <c r="D8" s="110">
        <v>0.03</v>
      </c>
      <c r="E8" s="110">
        <v>0.04</v>
      </c>
      <c r="F8" s="110">
        <v>0.03</v>
      </c>
      <c r="G8" s="110">
        <v>0.03</v>
      </c>
      <c r="H8" s="110">
        <v>0.05</v>
      </c>
    </row>
    <row r="10" spans="1:9" x14ac:dyDescent="0.2">
      <c r="A10" s="59" t="s">
        <v>157</v>
      </c>
      <c r="B10" s="59"/>
      <c r="C10" s="59"/>
      <c r="D10" s="59"/>
      <c r="E10" s="59"/>
      <c r="F10" s="59"/>
      <c r="G10" s="59"/>
      <c r="H10" s="59"/>
      <c r="I10" s="59"/>
    </row>
    <row r="11" spans="1:9" x14ac:dyDescent="0.2">
      <c r="A11" s="112" t="s">
        <v>154</v>
      </c>
      <c r="B11" s="111" t="s">
        <v>155</v>
      </c>
      <c r="C11" s="111" t="s">
        <v>158</v>
      </c>
      <c r="D11" s="112" t="s">
        <v>159</v>
      </c>
    </row>
    <row r="12" spans="1:9" x14ac:dyDescent="0.2">
      <c r="A12" s="113" t="s">
        <v>19</v>
      </c>
      <c r="B12" s="107" t="str">
        <f>IF(Assumptions!C18="Base","✔","")</f>
        <v>✔</v>
      </c>
      <c r="C12" s="115">
        <f>Assumptions!C15</f>
        <v>1.6709999999999999E-2</v>
      </c>
      <c r="D12" s="116" t="s">
        <v>160</v>
      </c>
    </row>
    <row r="13" spans="1:9" x14ac:dyDescent="0.2">
      <c r="A13" s="113" t="s">
        <v>134</v>
      </c>
      <c r="B13" s="107" t="str">
        <f>IF(Assumptions!C18="Stress","✔","")</f>
        <v/>
      </c>
      <c r="C13" s="115">
        <f>Assumptions!C16</f>
        <v>3.5000000000000003E-2</v>
      </c>
      <c r="D13" s="116" t="s">
        <v>161</v>
      </c>
    </row>
    <row r="14" spans="1:9" x14ac:dyDescent="0.2">
      <c r="A14" s="113" t="s">
        <v>135</v>
      </c>
      <c r="B14" s="107" t="str">
        <f>IF(Assumptions!C18="Severe","✔","")</f>
        <v/>
      </c>
      <c r="C14" s="115">
        <f>Assumptions!C17</f>
        <v>0.05</v>
      </c>
      <c r="D14" s="116" t="s">
        <v>162</v>
      </c>
    </row>
    <row r="16" spans="1:9" x14ac:dyDescent="0.2">
      <c r="A16" s="59" t="s">
        <v>163</v>
      </c>
      <c r="B16" s="59"/>
      <c r="C16" s="59"/>
      <c r="D16" s="59"/>
      <c r="E16" s="59"/>
      <c r="F16" s="59"/>
      <c r="G16" s="59"/>
      <c r="H16" s="59"/>
      <c r="I16" s="59"/>
    </row>
    <row r="17" spans="1:9" x14ac:dyDescent="0.2">
      <c r="A17" s="112" t="s">
        <v>9</v>
      </c>
      <c r="B17" s="111" t="s">
        <v>155</v>
      </c>
      <c r="C17" s="111" t="s">
        <v>44</v>
      </c>
      <c r="D17" s="118" t="s">
        <v>159</v>
      </c>
    </row>
    <row r="18" spans="1:9" x14ac:dyDescent="0.2">
      <c r="A18" s="113" t="s">
        <v>10</v>
      </c>
      <c r="B18" s="107" t="str">
        <f>IF(Assumptions!C10="SC 1st Property","✔","")</f>
        <v>✔</v>
      </c>
      <c r="C18" s="117">
        <v>0</v>
      </c>
      <c r="D18" s="116" t="s">
        <v>164</v>
      </c>
    </row>
    <row r="19" spans="1:9" x14ac:dyDescent="0.2">
      <c r="A19" s="113" t="s">
        <v>165</v>
      </c>
      <c r="B19" s="107" t="str">
        <f>IF(Assumptions!C10="SC 2nd Property","✔","")</f>
        <v/>
      </c>
      <c r="C19" s="117">
        <v>0.2</v>
      </c>
      <c r="D19" s="116" t="s">
        <v>166</v>
      </c>
    </row>
    <row r="20" spans="1:9" x14ac:dyDescent="0.2">
      <c r="A20" s="113" t="s">
        <v>167</v>
      </c>
      <c r="B20" s="107" t="str">
        <f>IF(Assumptions!C10="PR","✔","")</f>
        <v/>
      </c>
      <c r="C20" s="117">
        <v>0.05</v>
      </c>
      <c r="D20" s="116" t="s">
        <v>168</v>
      </c>
    </row>
    <row r="22" spans="1:9" x14ac:dyDescent="0.2">
      <c r="A22" s="59" t="s">
        <v>176</v>
      </c>
      <c r="B22" s="4"/>
      <c r="C22" s="4"/>
      <c r="D22" s="4"/>
      <c r="E22" s="4"/>
      <c r="F22" s="4"/>
      <c r="G22" s="4"/>
      <c r="H22" s="4"/>
      <c r="I22" s="4"/>
    </row>
    <row r="23" spans="1:9" x14ac:dyDescent="0.2">
      <c r="A23" s="112" t="s">
        <v>154</v>
      </c>
      <c r="B23" s="111" t="s">
        <v>155</v>
      </c>
      <c r="C23" s="111" t="s">
        <v>33</v>
      </c>
      <c r="D23" s="123" t="s">
        <v>34</v>
      </c>
      <c r="E23" s="111" t="s">
        <v>35</v>
      </c>
      <c r="F23" s="111" t="s">
        <v>140</v>
      </c>
      <c r="G23" s="111" t="s">
        <v>141</v>
      </c>
      <c r="H23" s="111" t="s">
        <v>146</v>
      </c>
    </row>
    <row r="24" spans="1:9" x14ac:dyDescent="0.2">
      <c r="A24" s="113" t="s">
        <v>19</v>
      </c>
      <c r="B24" s="107" t="str">
        <f>IF(Assumptions!C18="Base","✔","")</f>
        <v>✔</v>
      </c>
      <c r="C24" s="120">
        <v>2.5999999999999999E-2</v>
      </c>
      <c r="D24" s="115">
        <f>Assumptions!C15</f>
        <v>1.6709999999999999E-2</v>
      </c>
      <c r="E24" s="115">
        <f>Assumptions!C15</f>
        <v>1.6709999999999999E-2</v>
      </c>
      <c r="F24" s="120">
        <v>2.5999999999999999E-2</v>
      </c>
      <c r="G24" s="120">
        <v>2.5999999999999999E-2</v>
      </c>
      <c r="H24" s="115">
        <f>Assumptions!C15</f>
        <v>1.6709999999999999E-2</v>
      </c>
    </row>
    <row r="25" spans="1:9" x14ac:dyDescent="0.2">
      <c r="A25" s="113" t="s">
        <v>134</v>
      </c>
      <c r="B25" s="107" t="str">
        <f>IF(Assumptions!C18="Stress","✔","")</f>
        <v/>
      </c>
      <c r="C25" s="120">
        <v>2.5999999999999999E-2</v>
      </c>
      <c r="D25" s="115">
        <f>Assumptions!C16</f>
        <v>3.5000000000000003E-2</v>
      </c>
      <c r="E25" s="115">
        <f>Assumptions!C16</f>
        <v>3.5000000000000003E-2</v>
      </c>
      <c r="F25" s="120">
        <v>2.5999999999999999E-2</v>
      </c>
      <c r="G25" s="120">
        <v>2.5999999999999999E-2</v>
      </c>
      <c r="H25" s="115">
        <f>Assumptions!C16</f>
        <v>3.5000000000000003E-2</v>
      </c>
    </row>
    <row r="26" spans="1:9" x14ac:dyDescent="0.2">
      <c r="A26" s="113" t="s">
        <v>135</v>
      </c>
      <c r="B26" s="107" t="str">
        <f>IF(Assumptions!C18="Severe","✔","")</f>
        <v/>
      </c>
      <c r="C26" s="120">
        <v>2.5999999999999999E-2</v>
      </c>
      <c r="D26" s="115">
        <f>Assumptions!C17</f>
        <v>0.05</v>
      </c>
      <c r="E26" s="115">
        <f>Assumptions!C17</f>
        <v>0.05</v>
      </c>
      <c r="F26" s="120">
        <v>2.5999999999999999E-2</v>
      </c>
      <c r="G26" s="120">
        <v>2.5999999999999999E-2</v>
      </c>
      <c r="H26" s="115">
        <f>Assumptions!C17</f>
        <v>0.05</v>
      </c>
    </row>
    <row r="27" spans="1:9" x14ac:dyDescent="0.2">
      <c r="A27" s="114" t="s">
        <v>177</v>
      </c>
      <c r="B27" s="121"/>
      <c r="C27" s="122">
        <f>INDEX(C24:C26,MATCH(Assumptions!C18,A24:A26,0))</f>
        <v>2.5999999999999999E-2</v>
      </c>
      <c r="D27" s="122">
        <f>INDEX(D24:D26,MATCH(Assumptions!C18,A24:A26,0))</f>
        <v>1.6709999999999999E-2</v>
      </c>
      <c r="E27" s="122">
        <f>INDEX(E24:E26,MATCH(Assumptions!C18,A24:A26,0))</f>
        <v>1.6709999999999999E-2</v>
      </c>
      <c r="F27" s="122">
        <f>INDEX(F24:F26,MATCH(Assumptions!C18,A24:A26,0))</f>
        <v>2.5999999999999999E-2</v>
      </c>
      <c r="G27" s="122">
        <f>INDEX(G24:G26,MATCH(Assumptions!C18,A24:A26,0))</f>
        <v>2.5999999999999999E-2</v>
      </c>
      <c r="H27" s="122">
        <f>INDEX(H24:H26,MATCH(Assumptions!C18,A24:A26,0))</f>
        <v>1.6709999999999999E-2</v>
      </c>
    </row>
    <row r="33" spans="1:9" x14ac:dyDescent="0.2">
      <c r="A33" s="59" t="s">
        <v>169</v>
      </c>
      <c r="B33" s="59"/>
      <c r="C33" s="59"/>
      <c r="D33" s="59"/>
      <c r="E33" s="59"/>
      <c r="F33" s="59"/>
      <c r="G33" s="59"/>
      <c r="H33" s="59"/>
      <c r="I33" s="59"/>
    </row>
    <row r="34" spans="1:9" x14ac:dyDescent="0.2">
      <c r="A34" s="96" t="s">
        <v>170</v>
      </c>
    </row>
    <row r="35" spans="1:9" x14ac:dyDescent="0.2">
      <c r="A35" s="96" t="s">
        <v>171</v>
      </c>
    </row>
    <row r="36" spans="1:9" x14ac:dyDescent="0.2">
      <c r="A36" s="96" t="s">
        <v>172</v>
      </c>
    </row>
    <row r="37" spans="1:9" x14ac:dyDescent="0.2">
      <c r="A37" s="96" t="s">
        <v>173</v>
      </c>
    </row>
    <row r="38" spans="1:9" x14ac:dyDescent="0.2">
      <c r="A38" s="96" t="s">
        <v>174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6AFD-2DC4-FF4F-A5E8-FC0DFFAB6165}">
  <dimension ref="A1:I54"/>
  <sheetViews>
    <sheetView topLeftCell="A9" workbookViewId="0">
      <selection activeCell="E32" sqref="E32"/>
    </sheetView>
  </sheetViews>
  <sheetFormatPr baseColWidth="10" defaultRowHeight="16" x14ac:dyDescent="0.2"/>
  <cols>
    <col min="1" max="1" width="38.33203125" customWidth="1"/>
    <col min="3" max="6" width="21.6640625" customWidth="1"/>
    <col min="7" max="7" width="13" bestFit="1" customWidth="1"/>
    <col min="8" max="9" width="21.6640625" customWidth="1"/>
  </cols>
  <sheetData>
    <row r="1" spans="1:9" ht="19" x14ac:dyDescent="0.25">
      <c r="A1" s="35" t="s">
        <v>93</v>
      </c>
      <c r="B1" s="4"/>
      <c r="C1" s="4"/>
      <c r="D1" s="4"/>
      <c r="E1" s="4"/>
      <c r="F1" s="4"/>
      <c r="G1" s="4"/>
      <c r="H1" s="4"/>
      <c r="I1" s="102"/>
    </row>
    <row r="2" spans="1:9" x14ac:dyDescent="0.2">
      <c r="I2" s="103"/>
    </row>
    <row r="3" spans="1:9" x14ac:dyDescent="0.2">
      <c r="A3" s="23" t="s">
        <v>94</v>
      </c>
      <c r="B3" s="4"/>
      <c r="C3" s="4"/>
      <c r="D3" s="4"/>
      <c r="E3" s="4"/>
      <c r="F3" s="4"/>
      <c r="G3" s="4"/>
      <c r="H3" s="4"/>
      <c r="I3" s="67"/>
    </row>
    <row r="4" spans="1:9" x14ac:dyDescent="0.2">
      <c r="C4" s="19" t="s">
        <v>33</v>
      </c>
      <c r="D4" s="19" t="s">
        <v>34</v>
      </c>
      <c r="E4" s="19" t="s">
        <v>35</v>
      </c>
      <c r="G4" s="60" t="s">
        <v>140</v>
      </c>
      <c r="H4" s="60" t="s">
        <v>141</v>
      </c>
      <c r="I4" s="60" t="s">
        <v>146</v>
      </c>
    </row>
    <row r="5" spans="1:9" x14ac:dyDescent="0.2">
      <c r="A5" t="s">
        <v>6</v>
      </c>
      <c r="C5" s="21">
        <f>Assumptions!C7</f>
        <v>800000</v>
      </c>
      <c r="D5" s="21">
        <f>Assumptions!C7</f>
        <v>800000</v>
      </c>
      <c r="E5" s="21">
        <f>Assumptions!C7</f>
        <v>800000</v>
      </c>
      <c r="G5" s="68">
        <f>Assumptions!C7</f>
        <v>800000</v>
      </c>
      <c r="H5" s="68">
        <f>Assumptions!C7</f>
        <v>800000</v>
      </c>
      <c r="I5" s="68">
        <f>Assumptions!C7</f>
        <v>800000</v>
      </c>
    </row>
    <row r="6" spans="1:9" x14ac:dyDescent="0.2">
      <c r="A6" t="s">
        <v>95</v>
      </c>
      <c r="C6" s="21">
        <f>'HDB 1984'!C9</f>
        <v>262200</v>
      </c>
      <c r="D6" s="21">
        <f>'Condo 99LH'!C9</f>
        <v>613200</v>
      </c>
      <c r="E6" s="21">
        <f>'FH Condo'!C9</f>
        <v>1061200</v>
      </c>
      <c r="G6" s="68">
        <f>'HDB 2005'!C9</f>
        <v>72200</v>
      </c>
      <c r="H6" s="68">
        <f>'HDB 2015'!C9</f>
        <v>262200</v>
      </c>
      <c r="I6" s="68">
        <f>'FH Landed (Prime)'!C9</f>
        <v>2053200</v>
      </c>
    </row>
    <row r="7" spans="1:9" x14ac:dyDescent="0.2">
      <c r="A7" t="s">
        <v>96</v>
      </c>
      <c r="C7" s="21">
        <f>'HDB 1984'!C7</f>
        <v>150000</v>
      </c>
      <c r="D7" s="21">
        <f>'Condo 99LH'!C7</f>
        <v>150000</v>
      </c>
      <c r="E7" s="21">
        <f>'FH Condo'!C7</f>
        <v>150000</v>
      </c>
      <c r="G7" s="68">
        <f>'HDB 2005'!C7</f>
        <v>150000</v>
      </c>
      <c r="H7" s="68">
        <f>'HDB 2015'!C7</f>
        <v>150000</v>
      </c>
      <c r="I7" s="68">
        <f>'FH Landed (Prime)'!C7</f>
        <v>150000</v>
      </c>
    </row>
    <row r="8" spans="1:9" x14ac:dyDescent="0.2">
      <c r="A8" s="14" t="s">
        <v>97</v>
      </c>
      <c r="C8" s="25">
        <f>C5-C6</f>
        <v>537800</v>
      </c>
      <c r="D8" s="25">
        <f>D5-D6</f>
        <v>186800</v>
      </c>
      <c r="E8" s="25">
        <f>E5-E6</f>
        <v>-261200</v>
      </c>
      <c r="G8" s="72">
        <f>G5-G6</f>
        <v>727800</v>
      </c>
      <c r="H8" s="72">
        <f>H5-H6</f>
        <v>537800</v>
      </c>
      <c r="I8" s="72">
        <f>I5-I6</f>
        <v>-1253200</v>
      </c>
    </row>
    <row r="9" spans="1:9" x14ac:dyDescent="0.2">
      <c r="A9" t="s">
        <v>98</v>
      </c>
      <c r="C9" s="24">
        <f>Assumptions!C54</f>
        <v>5.5E-2</v>
      </c>
      <c r="D9" s="24">
        <f>Assumptions!C54</f>
        <v>5.5E-2</v>
      </c>
      <c r="E9" s="24">
        <f>Assumptions!C54</f>
        <v>5.5E-2</v>
      </c>
      <c r="G9" s="83">
        <f>Assumptions!C54</f>
        <v>5.5E-2</v>
      </c>
      <c r="H9" s="83">
        <f>Assumptions!C54</f>
        <v>5.5E-2</v>
      </c>
      <c r="I9" s="83">
        <f>Assumptions!C54</f>
        <v>5.5E-2</v>
      </c>
    </row>
    <row r="10" spans="1:9" x14ac:dyDescent="0.2">
      <c r="A10" t="s">
        <v>99</v>
      </c>
      <c r="C10" s="21">
        <f>'HDB 1984'!C12</f>
        <v>50442.803653582414</v>
      </c>
      <c r="D10" s="21">
        <f>'Condo 99LH'!C12</f>
        <v>79511.644974552095</v>
      </c>
      <c r="E10" s="21">
        <f>'FH Condo'!C12</f>
        <v>124038.16616030128</v>
      </c>
      <c r="G10" s="68">
        <f>'HDB 2005'!C12</f>
        <v>28103.847749853063</v>
      </c>
      <c r="H10" s="68">
        <f>'HDB 2015'!C12</f>
        <v>50442.803653582414</v>
      </c>
      <c r="I10" s="68">
        <f>'FH Landed (Prime)'!C12</f>
        <v>222632.60592874591</v>
      </c>
    </row>
    <row r="11" spans="1:9" x14ac:dyDescent="0.2">
      <c r="I11" s="103"/>
    </row>
    <row r="12" spans="1:9" x14ac:dyDescent="0.2">
      <c r="A12" s="23" t="s">
        <v>100</v>
      </c>
      <c r="B12" s="4"/>
      <c r="C12" s="4"/>
      <c r="D12" s="4"/>
      <c r="E12" s="4"/>
      <c r="F12" s="4"/>
      <c r="G12" s="4"/>
      <c r="H12" s="4"/>
      <c r="I12" s="67"/>
    </row>
    <row r="13" spans="1:9" ht="51" x14ac:dyDescent="0.2">
      <c r="A13" s="26" t="s">
        <v>66</v>
      </c>
      <c r="B13" s="26" t="s">
        <v>67</v>
      </c>
      <c r="C13" s="28" t="s">
        <v>101</v>
      </c>
      <c r="D13" s="28" t="s">
        <v>102</v>
      </c>
      <c r="E13" s="28" t="s">
        <v>103</v>
      </c>
      <c r="F13" s="28" t="s">
        <v>104</v>
      </c>
      <c r="G13" s="73" t="s">
        <v>144</v>
      </c>
      <c r="H13" s="73" t="s">
        <v>145</v>
      </c>
      <c r="I13" s="73" t="s">
        <v>148</v>
      </c>
    </row>
    <row r="14" spans="1:9" x14ac:dyDescent="0.2">
      <c r="A14" s="29">
        <v>0</v>
      </c>
      <c r="B14" s="29">
        <f>Assumptions!C4</f>
        <v>32</v>
      </c>
      <c r="C14" s="21">
        <f>$C$8</f>
        <v>537800</v>
      </c>
      <c r="D14" s="21">
        <f>$D$8</f>
        <v>186800</v>
      </c>
      <c r="E14" s="21">
        <f>$E$8</f>
        <v>-261200</v>
      </c>
      <c r="F14" s="21">
        <f>Assumptions!C7</f>
        <v>800000</v>
      </c>
      <c r="G14" s="68">
        <f>$G$8</f>
        <v>727800</v>
      </c>
      <c r="H14" s="68">
        <f>$H$8</f>
        <v>537800</v>
      </c>
      <c r="I14" s="68">
        <f>$I$8</f>
        <v>-1253200</v>
      </c>
    </row>
    <row r="15" spans="1:9" x14ac:dyDescent="0.2">
      <c r="A15" s="29">
        <f>A14+1</f>
        <v>1</v>
      </c>
      <c r="B15" s="29">
        <f>B14+1</f>
        <v>33</v>
      </c>
      <c r="C15" s="21">
        <f>C14*(1+$C$9)-$C$10</f>
        <v>516936.19634641759</v>
      </c>
      <c r="D15" s="21">
        <f>D14*(1+$D$9)-$D$10</f>
        <v>117562.35502544791</v>
      </c>
      <c r="E15" s="21">
        <f>E14*(1+$E$9)-$E$10</f>
        <v>-399604.16616030131</v>
      </c>
      <c r="F15" s="21">
        <f>F14*(1+Assumptions!$C$54)</f>
        <v>844000</v>
      </c>
      <c r="G15" s="21">
        <f>G14*(1+$G$9)-$G$10</f>
        <v>739725.15225014696</v>
      </c>
      <c r="H15" s="21">
        <f>H14*(1+$H$9)-$H$10</f>
        <v>516936.19634641759</v>
      </c>
      <c r="I15" s="68">
        <f>I14*(1+$I$9)-$I$10</f>
        <v>-1544758.6059287458</v>
      </c>
    </row>
    <row r="16" spans="1:9" x14ac:dyDescent="0.2">
      <c r="A16" s="29">
        <f t="shared" ref="A16:A34" si="0">A15+1</f>
        <v>2</v>
      </c>
      <c r="B16" s="29">
        <f t="shared" ref="B16:B34" si="1">B15+1</f>
        <v>34</v>
      </c>
      <c r="C16" s="21">
        <f t="shared" ref="C16:C34" si="2">C15*(1+$C$9)-$C$10</f>
        <v>494924.88349188812</v>
      </c>
      <c r="D16" s="21">
        <f t="shared" ref="D16:D34" si="3">D15*(1+$D$9)-$D$10</f>
        <v>44516.639577295442</v>
      </c>
      <c r="E16" s="21">
        <f t="shared" ref="E16:E34" si="4">E15*(1+$E$9)-$E$10</f>
        <v>-545620.56145941908</v>
      </c>
      <c r="F16" s="21">
        <f>F15*(1+Assumptions!$C$54)</f>
        <v>890420</v>
      </c>
      <c r="G16" s="21">
        <f t="shared" ref="G16:G34" si="5">G15*(1+$G$9)-$G$10</f>
        <v>752306.18787405198</v>
      </c>
      <c r="H16" s="21">
        <f t="shared" ref="H16:H34" si="6">H15*(1+$H$9)-$H$10</f>
        <v>494924.88349188812</v>
      </c>
      <c r="I16" s="68">
        <f t="shared" ref="I16:I34" si="7">I15*(1+$I$9)-$I$10</f>
        <v>-1852352.9351835726</v>
      </c>
    </row>
    <row r="17" spans="1:9" x14ac:dyDescent="0.2">
      <c r="A17" s="29">
        <f t="shared" si="0"/>
        <v>3</v>
      </c>
      <c r="B17" s="29">
        <f t="shared" si="1"/>
        <v>35</v>
      </c>
      <c r="C17" s="21">
        <f t="shared" si="2"/>
        <v>471702.94843035954</v>
      </c>
      <c r="D17" s="21">
        <f t="shared" si="3"/>
        <v>-32546.590220505408</v>
      </c>
      <c r="E17" s="21">
        <f t="shared" si="4"/>
        <v>-699667.85849998845</v>
      </c>
      <c r="F17" s="21">
        <f>F16*(1+Assumptions!$C$54)</f>
        <v>939393.1</v>
      </c>
      <c r="G17" s="21">
        <f t="shared" si="5"/>
        <v>765579.18045727175</v>
      </c>
      <c r="H17" s="21">
        <f t="shared" si="6"/>
        <v>471702.94843035954</v>
      </c>
      <c r="I17" s="68">
        <f t="shared" si="7"/>
        <v>-2176864.9525474147</v>
      </c>
    </row>
    <row r="18" spans="1:9" x14ac:dyDescent="0.2">
      <c r="A18" s="29">
        <f t="shared" si="0"/>
        <v>4</v>
      </c>
      <c r="B18" s="29">
        <f t="shared" si="1"/>
        <v>36</v>
      </c>
      <c r="C18" s="21">
        <f t="shared" si="2"/>
        <v>447203.8069404469</v>
      </c>
      <c r="D18" s="21">
        <f t="shared" si="3"/>
        <v>-113848.29765718529</v>
      </c>
      <c r="E18" s="21">
        <f t="shared" si="4"/>
        <v>-862187.75687778904</v>
      </c>
      <c r="F18" s="21">
        <f>F17*(1+Assumptions!$C$54)</f>
        <v>991059.72049999994</v>
      </c>
      <c r="G18" s="21">
        <f t="shared" si="5"/>
        <v>779582.18763256865</v>
      </c>
      <c r="H18" s="21">
        <f t="shared" si="6"/>
        <v>447203.8069404469</v>
      </c>
      <c r="I18" s="68">
        <f t="shared" si="7"/>
        <v>-2519225.1308662686</v>
      </c>
    </row>
    <row r="19" spans="1:9" x14ac:dyDescent="0.2">
      <c r="A19" s="29">
        <f t="shared" si="0"/>
        <v>5</v>
      </c>
      <c r="B19" s="29">
        <f t="shared" si="1"/>
        <v>37</v>
      </c>
      <c r="C19" s="21">
        <f t="shared" si="2"/>
        <v>421357.21266858903</v>
      </c>
      <c r="D19" s="21">
        <f t="shared" si="3"/>
        <v>-199621.59900288258</v>
      </c>
      <c r="E19" s="21">
        <f t="shared" si="4"/>
        <v>-1033646.2496663687</v>
      </c>
      <c r="F19" s="21">
        <f>F18*(1+Assumptions!$C$54)</f>
        <v>1045568.0051274999</v>
      </c>
      <c r="G19" s="21">
        <f t="shared" si="5"/>
        <v>794355.36020250688</v>
      </c>
      <c r="H19" s="21">
        <f t="shared" si="6"/>
        <v>421357.21266858903</v>
      </c>
      <c r="I19" s="68">
        <f t="shared" si="7"/>
        <v>-2880415.1189926593</v>
      </c>
    </row>
    <row r="20" spans="1:9" x14ac:dyDescent="0.2">
      <c r="A20" s="29">
        <f t="shared" si="0"/>
        <v>6</v>
      </c>
      <c r="B20" s="29">
        <f t="shared" si="1"/>
        <v>38</v>
      </c>
      <c r="C20" s="21">
        <f t="shared" si="2"/>
        <v>394089.05571177899</v>
      </c>
      <c r="D20" s="21">
        <f t="shared" si="3"/>
        <v>-290112.43192259321</v>
      </c>
      <c r="E20" s="21">
        <f t="shared" si="4"/>
        <v>-1214534.9595583202</v>
      </c>
      <c r="F20" s="21">
        <f>F19*(1+Assumptions!$C$54)</f>
        <v>1103074.2454095124</v>
      </c>
      <c r="G20" s="21">
        <f t="shared" si="5"/>
        <v>809941.05726379168</v>
      </c>
      <c r="H20" s="21">
        <f t="shared" si="6"/>
        <v>394089.05571177899</v>
      </c>
      <c r="I20" s="68">
        <f t="shared" si="7"/>
        <v>-3261470.5564660016</v>
      </c>
    </row>
    <row r="21" spans="1:9" x14ac:dyDescent="0.2">
      <c r="A21" s="29">
        <f t="shared" si="0"/>
        <v>7</v>
      </c>
      <c r="B21" s="29">
        <f t="shared" si="1"/>
        <v>39</v>
      </c>
      <c r="C21" s="21">
        <f t="shared" si="2"/>
        <v>365321.15012234438</v>
      </c>
      <c r="D21" s="21">
        <f t="shared" si="3"/>
        <v>-385580.26065288793</v>
      </c>
      <c r="E21" s="21">
        <f t="shared" si="4"/>
        <v>-1405372.548494329</v>
      </c>
      <c r="F21" s="21">
        <f>F20*(1+Assumptions!$C$54)</f>
        <v>1163743.3289070355</v>
      </c>
      <c r="G21" s="21">
        <f t="shared" si="5"/>
        <v>826383.96766344714</v>
      </c>
      <c r="H21" s="21">
        <f t="shared" si="6"/>
        <v>365321.15012234438</v>
      </c>
      <c r="I21" s="68">
        <f t="shared" si="7"/>
        <v>-3663484.0430003777</v>
      </c>
    </row>
    <row r="22" spans="1:9" x14ac:dyDescent="0.2">
      <c r="A22" s="29">
        <f t="shared" si="0"/>
        <v>8</v>
      </c>
      <c r="B22" s="29">
        <f t="shared" si="1"/>
        <v>40</v>
      </c>
      <c r="C22" s="21">
        <f t="shared" si="2"/>
        <v>334971.00972549088</v>
      </c>
      <c r="D22" s="21">
        <f t="shared" si="3"/>
        <v>-486298.81996334885</v>
      </c>
      <c r="E22" s="21">
        <f t="shared" si="4"/>
        <v>-1606706.2048218183</v>
      </c>
      <c r="F22" s="21">
        <f>F21*(1+Assumptions!$C$54)</f>
        <v>1227749.2119969225</v>
      </c>
      <c r="G22" s="21">
        <f t="shared" si="5"/>
        <v>843731.23813508369</v>
      </c>
      <c r="H22" s="21">
        <f t="shared" si="6"/>
        <v>334971.00972549088</v>
      </c>
      <c r="I22" s="68">
        <f t="shared" si="7"/>
        <v>-4087608.2712941444</v>
      </c>
    </row>
    <row r="23" spans="1:9" x14ac:dyDescent="0.2">
      <c r="A23" s="29">
        <f t="shared" si="0"/>
        <v>9</v>
      </c>
      <c r="B23" s="29">
        <f t="shared" si="1"/>
        <v>41</v>
      </c>
      <c r="C23" s="21">
        <f t="shared" si="2"/>
        <v>302951.61160681047</v>
      </c>
      <c r="D23" s="21">
        <f t="shared" si="3"/>
        <v>-592556.90003588516</v>
      </c>
      <c r="E23" s="21">
        <f t="shared" si="4"/>
        <v>-1819113.2122473195</v>
      </c>
      <c r="F23" s="21">
        <f>F22*(1+Assumptions!$C$54)</f>
        <v>1295275.4186567531</v>
      </c>
      <c r="G23" s="21">
        <f t="shared" si="5"/>
        <v>862032.60848266026</v>
      </c>
      <c r="H23" s="21">
        <f t="shared" si="6"/>
        <v>302951.61160681047</v>
      </c>
      <c r="I23" s="68">
        <f t="shared" si="7"/>
        <v>-4535059.3321440686</v>
      </c>
    </row>
    <row r="24" spans="1:9" x14ac:dyDescent="0.2">
      <c r="A24" s="29">
        <f t="shared" si="0"/>
        <v>10</v>
      </c>
      <c r="B24" s="29">
        <f t="shared" si="1"/>
        <v>42</v>
      </c>
      <c r="C24" s="21">
        <f t="shared" si="2"/>
        <v>269171.14659160265</v>
      </c>
      <c r="D24" s="21">
        <f t="shared" si="3"/>
        <v>-704659.17451241089</v>
      </c>
      <c r="E24" s="21">
        <f t="shared" si="4"/>
        <v>-2043202.6050812232</v>
      </c>
      <c r="F24" s="21">
        <f>F23*(1+Assumptions!$C$54)</f>
        <v>1366515.5666828745</v>
      </c>
      <c r="G24" s="21">
        <f t="shared" si="5"/>
        <v>881340.55419935344</v>
      </c>
      <c r="H24" s="21">
        <f t="shared" si="6"/>
        <v>269171.14659160265</v>
      </c>
      <c r="I24" s="68">
        <f t="shared" si="7"/>
        <v>-5007120.2013407378</v>
      </c>
    </row>
    <row r="25" spans="1:9" x14ac:dyDescent="0.2">
      <c r="A25" s="29">
        <f t="shared" si="0"/>
        <v>11</v>
      </c>
      <c r="B25" s="29">
        <f t="shared" si="1"/>
        <v>43</v>
      </c>
      <c r="C25" s="21">
        <f t="shared" si="2"/>
        <v>233532.75600055838</v>
      </c>
      <c r="D25" s="21">
        <f t="shared" si="3"/>
        <v>-822927.07408514549</v>
      </c>
      <c r="E25" s="21">
        <f t="shared" si="4"/>
        <v>-2279616.9145209915</v>
      </c>
      <c r="F25" s="21">
        <f>F24*(1+Assumptions!$C$54)</f>
        <v>1441673.9228504326</v>
      </c>
      <c r="G25" s="21">
        <f t="shared" si="5"/>
        <v>901710.43693046481</v>
      </c>
      <c r="H25" s="21">
        <f t="shared" si="6"/>
        <v>233532.75600055838</v>
      </c>
      <c r="I25" s="68">
        <f t="shared" si="7"/>
        <v>-5505144.4183432236</v>
      </c>
    </row>
    <row r="26" spans="1:9" x14ac:dyDescent="0.2">
      <c r="A26" s="29">
        <f t="shared" si="0"/>
        <v>12</v>
      </c>
      <c r="B26" s="29">
        <f t="shared" si="1"/>
        <v>44</v>
      </c>
      <c r="C26" s="21">
        <f t="shared" si="2"/>
        <v>195934.25392700668</v>
      </c>
      <c r="D26" s="21">
        <f t="shared" si="3"/>
        <v>-947699.70813438052</v>
      </c>
      <c r="E26" s="21">
        <f t="shared" si="4"/>
        <v>-2529034.0109799472</v>
      </c>
      <c r="F26" s="21">
        <f>F25*(1+Assumptions!$C$54)</f>
        <v>1520965.9886072064</v>
      </c>
      <c r="G26" s="21">
        <f t="shared" si="5"/>
        <v>923200.66321178724</v>
      </c>
      <c r="H26" s="21">
        <f t="shared" si="6"/>
        <v>195934.25392700668</v>
      </c>
      <c r="I26" s="68">
        <f t="shared" si="7"/>
        <v>-6030559.967280847</v>
      </c>
    </row>
    <row r="27" spans="1:9" x14ac:dyDescent="0.2">
      <c r="A27" s="29">
        <f t="shared" si="0"/>
        <v>13</v>
      </c>
      <c r="B27" s="29">
        <f t="shared" si="1"/>
        <v>45</v>
      </c>
      <c r="C27" s="21">
        <f t="shared" si="2"/>
        <v>156267.83423940963</v>
      </c>
      <c r="D27" s="21">
        <f t="shared" si="3"/>
        <v>-1079334.8370563234</v>
      </c>
      <c r="E27" s="21">
        <f t="shared" si="4"/>
        <v>-2792169.0477441456</v>
      </c>
      <c r="F27" s="21">
        <f>F26*(1+Assumptions!$C$54)</f>
        <v>1604619.1179806027</v>
      </c>
      <c r="G27" s="21">
        <f t="shared" si="5"/>
        <v>945872.85193858249</v>
      </c>
      <c r="H27" s="21">
        <f t="shared" si="6"/>
        <v>156267.83423940963</v>
      </c>
      <c r="I27" s="68">
        <f t="shared" si="7"/>
        <v>-6584873.3714100393</v>
      </c>
    </row>
    <row r="28" spans="1:9" x14ac:dyDescent="0.2">
      <c r="A28" s="29">
        <f t="shared" si="0"/>
        <v>14</v>
      </c>
      <c r="B28" s="29">
        <f t="shared" si="1"/>
        <v>46</v>
      </c>
      <c r="C28" s="21">
        <f t="shared" si="2"/>
        <v>114419.76146899475</v>
      </c>
      <c r="D28" s="21">
        <f t="shared" si="3"/>
        <v>-1218209.8980689733</v>
      </c>
      <c r="E28" s="21">
        <f t="shared" si="4"/>
        <v>-3069776.5115303746</v>
      </c>
      <c r="F28" s="21">
        <f>F27*(1+Assumptions!$C$54)</f>
        <v>1692873.1694695358</v>
      </c>
      <c r="G28" s="21">
        <f t="shared" si="5"/>
        <v>969792.01104535139</v>
      </c>
      <c r="H28" s="21">
        <f t="shared" si="6"/>
        <v>114419.76146899475</v>
      </c>
      <c r="I28" s="68">
        <f t="shared" si="7"/>
        <v>-7169674.012766337</v>
      </c>
    </row>
    <row r="29" spans="1:9" x14ac:dyDescent="0.2">
      <c r="A29" s="29">
        <f t="shared" si="0"/>
        <v>15</v>
      </c>
      <c r="B29" s="29">
        <f t="shared" si="1"/>
        <v>47</v>
      </c>
      <c r="C29" s="21">
        <f t="shared" si="2"/>
        <v>70270.044696207042</v>
      </c>
      <c r="D29" s="21">
        <f t="shared" si="3"/>
        <v>-1364723.0874373189</v>
      </c>
      <c r="E29" s="21">
        <f t="shared" si="4"/>
        <v>-3362652.3858248466</v>
      </c>
      <c r="F29" s="21">
        <f>F28*(1+Assumptions!$C$54)</f>
        <v>1785981.1937903601</v>
      </c>
      <c r="G29" s="21">
        <f t="shared" si="5"/>
        <v>995026.72390299267</v>
      </c>
      <c r="H29" s="21">
        <f t="shared" si="6"/>
        <v>70270.044696207042</v>
      </c>
      <c r="I29" s="68">
        <f t="shared" si="7"/>
        <v>-7786638.6893972307</v>
      </c>
    </row>
    <row r="30" spans="1:9" x14ac:dyDescent="0.2">
      <c r="A30" s="29">
        <f t="shared" si="0"/>
        <v>16</v>
      </c>
      <c r="B30" s="29">
        <f t="shared" si="1"/>
        <v>48</v>
      </c>
      <c r="C30" s="21">
        <f t="shared" si="2"/>
        <v>23692.093500916009</v>
      </c>
      <c r="D30" s="21">
        <f t="shared" si="3"/>
        <v>-1519294.5022209233</v>
      </c>
      <c r="E30" s="21">
        <f t="shared" si="4"/>
        <v>-3671636.4332055142</v>
      </c>
      <c r="F30" s="21">
        <f>F29*(1+Assumptions!$C$54)</f>
        <v>1884210.1594488297</v>
      </c>
      <c r="G30" s="21">
        <f t="shared" si="5"/>
        <v>1021649.3459678041</v>
      </c>
      <c r="H30" s="21">
        <f t="shared" si="6"/>
        <v>23692.093500916009</v>
      </c>
      <c r="I30" s="68">
        <f t="shared" si="7"/>
        <v>-8437536.4232428242</v>
      </c>
    </row>
    <row r="31" spans="1:9" x14ac:dyDescent="0.2">
      <c r="A31" s="29">
        <f t="shared" si="0"/>
        <v>17</v>
      </c>
      <c r="B31" s="29">
        <f t="shared" si="1"/>
        <v>49</v>
      </c>
      <c r="C31" s="21">
        <f t="shared" si="2"/>
        <v>-25447.645010116026</v>
      </c>
      <c r="D31" s="21">
        <f t="shared" si="3"/>
        <v>-1682367.3448176261</v>
      </c>
      <c r="E31" s="21">
        <f t="shared" si="4"/>
        <v>-3997614.6031921185</v>
      </c>
      <c r="F31" s="21">
        <f>F30*(1+Assumptions!$C$54)</f>
        <v>1987841.7182185152</v>
      </c>
      <c r="G31" s="21">
        <f t="shared" si="5"/>
        <v>1049736.2122461803</v>
      </c>
      <c r="H31" s="21">
        <f t="shared" si="6"/>
        <v>-25447.645010116026</v>
      </c>
      <c r="I31" s="68">
        <f t="shared" si="7"/>
        <v>-9124233.5324499235</v>
      </c>
    </row>
    <row r="32" spans="1:9" x14ac:dyDescent="0.2">
      <c r="A32" s="29">
        <f t="shared" si="0"/>
        <v>18</v>
      </c>
      <c r="B32" s="29">
        <f t="shared" si="1"/>
        <v>50</v>
      </c>
      <c r="C32" s="21">
        <f t="shared" si="2"/>
        <v>-77290.069139254818</v>
      </c>
      <c r="D32" s="21">
        <f t="shared" si="3"/>
        <v>-1854409.1937571475</v>
      </c>
      <c r="E32" s="21">
        <f t="shared" si="4"/>
        <v>-4341521.572527986</v>
      </c>
      <c r="F32" s="21">
        <f>F31*(1+Assumptions!$C$54)</f>
        <v>2097173.0127205332</v>
      </c>
      <c r="G32" s="21">
        <f t="shared" si="5"/>
        <v>1079367.8561698671</v>
      </c>
      <c r="H32" s="21">
        <f t="shared" si="6"/>
        <v>-77290.069139254818</v>
      </c>
      <c r="I32" s="68">
        <f t="shared" si="7"/>
        <v>-9848698.9826634135</v>
      </c>
    </row>
    <row r="33" spans="1:9" x14ac:dyDescent="0.2">
      <c r="A33" s="29">
        <f t="shared" si="0"/>
        <v>19</v>
      </c>
      <c r="B33" s="29">
        <f t="shared" si="1"/>
        <v>51</v>
      </c>
      <c r="C33" s="21">
        <f t="shared" si="2"/>
        <v>-131983.82659549624</v>
      </c>
      <c r="D33" s="21">
        <f t="shared" si="3"/>
        <v>-2035913.3443883427</v>
      </c>
      <c r="E33" s="21">
        <f t="shared" si="4"/>
        <v>-4704343.4251773264</v>
      </c>
      <c r="F33" s="21">
        <f>F32*(1+Assumptions!$C$54)</f>
        <v>2212517.5284201624</v>
      </c>
      <c r="G33" s="21">
        <f t="shared" si="5"/>
        <v>1110629.2405093566</v>
      </c>
      <c r="H33" s="21">
        <f t="shared" si="6"/>
        <v>-131983.82659549624</v>
      </c>
      <c r="I33" s="68">
        <f t="shared" si="7"/>
        <v>-10613010.032638647</v>
      </c>
    </row>
    <row r="34" spans="1:9" x14ac:dyDescent="0.2">
      <c r="A34" s="29">
        <f t="shared" si="0"/>
        <v>20</v>
      </c>
      <c r="B34" s="29">
        <f t="shared" si="1"/>
        <v>52</v>
      </c>
      <c r="C34" s="21">
        <f t="shared" si="2"/>
        <v>-189685.74071183093</v>
      </c>
      <c r="D34" s="21">
        <f t="shared" si="3"/>
        <v>-2227400.2233042535</v>
      </c>
      <c r="E34" s="21">
        <f t="shared" si="4"/>
        <v>-5087120.4797223806</v>
      </c>
      <c r="F34" s="21">
        <f>F33*(1+Assumptions!$C$54)</f>
        <v>2334205.9924832713</v>
      </c>
      <c r="G34" s="21">
        <f t="shared" si="5"/>
        <v>1143610.0009875181</v>
      </c>
      <c r="H34" s="21">
        <f t="shared" si="6"/>
        <v>-189685.74071183093</v>
      </c>
      <c r="I34" s="68">
        <f t="shared" si="7"/>
        <v>-11419358.190362517</v>
      </c>
    </row>
    <row r="35" spans="1:9" x14ac:dyDescent="0.2">
      <c r="I35" s="103"/>
    </row>
    <row r="36" spans="1:9" x14ac:dyDescent="0.2">
      <c r="A36" s="23" t="s">
        <v>105</v>
      </c>
      <c r="B36" s="4"/>
      <c r="C36" s="4"/>
      <c r="D36" s="4"/>
      <c r="E36" s="4"/>
      <c r="F36" s="4"/>
      <c r="G36" s="4"/>
      <c r="H36" s="4"/>
      <c r="I36" s="67"/>
    </row>
    <row r="37" spans="1:9" x14ac:dyDescent="0.2">
      <c r="C37" s="19" t="s">
        <v>33</v>
      </c>
      <c r="D37" s="19" t="s">
        <v>34</v>
      </c>
      <c r="E37" s="19" t="s">
        <v>35</v>
      </c>
      <c r="F37" s="19" t="s">
        <v>106</v>
      </c>
      <c r="G37" s="60" t="s">
        <v>140</v>
      </c>
      <c r="H37" s="60" t="s">
        <v>141</v>
      </c>
      <c r="I37" s="60" t="s">
        <v>149</v>
      </c>
    </row>
    <row r="38" spans="1:9" x14ac:dyDescent="0.2">
      <c r="A38" t="s">
        <v>107</v>
      </c>
      <c r="C38" s="21">
        <f t="shared" ref="C38:I38" si="8">C34</f>
        <v>-189685.74071183093</v>
      </c>
      <c r="D38" s="21">
        <f t="shared" si="8"/>
        <v>-2227400.2233042535</v>
      </c>
      <c r="E38" s="21">
        <f t="shared" si="8"/>
        <v>-5087120.4797223806</v>
      </c>
      <c r="F38" s="21">
        <f t="shared" si="8"/>
        <v>2334205.9924832713</v>
      </c>
      <c r="G38" s="68">
        <f t="shared" si="8"/>
        <v>1143610.0009875181</v>
      </c>
      <c r="H38" s="68">
        <f t="shared" si="8"/>
        <v>-189685.74071183093</v>
      </c>
      <c r="I38" s="68">
        <f t="shared" si="8"/>
        <v>-11419358.190362517</v>
      </c>
    </row>
    <row r="39" spans="1:9" x14ac:dyDescent="0.2">
      <c r="A39" t="s">
        <v>108</v>
      </c>
      <c r="C39" s="21">
        <f>'HDB 1984'!Q35</f>
        <v>872887.86638471275</v>
      </c>
      <c r="D39" s="21">
        <f>'Condo 99LH'!Q35</f>
        <v>2979508.9499594648</v>
      </c>
      <c r="E39" s="21">
        <f>'FH Condo'!Q35</f>
        <v>7212238.5299675521</v>
      </c>
      <c r="F39" s="21">
        <v>0</v>
      </c>
      <c r="G39" s="68">
        <f>'HDB 2005'!Q35</f>
        <v>728542.06355773844</v>
      </c>
      <c r="H39" s="68">
        <f>'HDB 2015'!Q35</f>
        <v>1531984.7410699809</v>
      </c>
      <c r="I39" s="68">
        <f>'FH Landed (Prime)'!Q35</f>
        <v>16332550.908941854</v>
      </c>
    </row>
    <row r="40" spans="1:9" ht="19" x14ac:dyDescent="0.25">
      <c r="A40" s="37" t="s">
        <v>109</v>
      </c>
      <c r="C40" s="38">
        <f t="shared" ref="C40:I40" si="9">C38+C39</f>
        <v>683202.12567288184</v>
      </c>
      <c r="D40" s="38">
        <f t="shared" si="9"/>
        <v>752108.7266552113</v>
      </c>
      <c r="E40" s="38">
        <f t="shared" si="9"/>
        <v>2125118.0502451714</v>
      </c>
      <c r="F40" s="38">
        <f t="shared" si="9"/>
        <v>2334205.9924832713</v>
      </c>
      <c r="G40" s="74">
        <f t="shared" si="9"/>
        <v>1872152.0645452566</v>
      </c>
      <c r="H40" s="74">
        <f t="shared" si="9"/>
        <v>1342299.0003581499</v>
      </c>
      <c r="I40" s="74">
        <f t="shared" si="9"/>
        <v>4913192.718579337</v>
      </c>
    </row>
    <row r="41" spans="1:9" x14ac:dyDescent="0.2">
      <c r="A41" s="13" t="s">
        <v>110</v>
      </c>
      <c r="C41" s="39">
        <f>C40-F40</f>
        <v>-1651003.8668103893</v>
      </c>
      <c r="D41" s="39">
        <f>D40-F40</f>
        <v>-1582097.26582806</v>
      </c>
      <c r="E41" s="39">
        <f>E40-F40</f>
        <v>-209087.94223809987</v>
      </c>
      <c r="F41" s="29" t="s">
        <v>80</v>
      </c>
      <c r="G41" s="84">
        <f>G40-F40</f>
        <v>-462053.92793801473</v>
      </c>
      <c r="H41" s="84">
        <f>H40-F40</f>
        <v>-991906.99212512141</v>
      </c>
      <c r="I41" s="75">
        <f>I40-F40</f>
        <v>2578986.7260960657</v>
      </c>
    </row>
    <row r="42" spans="1:9" x14ac:dyDescent="0.2">
      <c r="A42" s="13" t="s">
        <v>111</v>
      </c>
      <c r="C42" s="40">
        <f>(C40/Assumptions!C7)^(1/20)-1</f>
        <v>-7.8599961006461383E-3</v>
      </c>
      <c r="D42" s="40">
        <f>(D40/Assumptions!C7)^(1/20)-1</f>
        <v>-3.0817830702102311E-3</v>
      </c>
      <c r="E42" s="40">
        <f>(E40/Assumptions!C7)^(1/20)-1</f>
        <v>5.0061301934732683E-2</v>
      </c>
      <c r="F42" s="40">
        <f>(F40/Assumptions!C7)^(1/20)-1</f>
        <v>5.4999999999999938E-2</v>
      </c>
      <c r="G42" s="85">
        <f>(G40/Assumptions!C7)^(1/20)-1</f>
        <v>4.3428168267881428E-2</v>
      </c>
      <c r="H42" s="85">
        <f>(H40/Assumptions!C7)^(1/20)-1</f>
        <v>2.6214068097143883E-2</v>
      </c>
      <c r="I42" s="85">
        <f>(I40/Assumptions!C7)^(1/20)-1</f>
        <v>9.4998919488191946E-2</v>
      </c>
    </row>
    <row r="44" spans="1:9" x14ac:dyDescent="0.2">
      <c r="A44" s="104" t="s">
        <v>195</v>
      </c>
      <c r="B44" s="4"/>
      <c r="C44" s="4"/>
      <c r="D44" s="4"/>
      <c r="E44" s="4"/>
      <c r="F44" s="4"/>
      <c r="G44" s="4"/>
      <c r="H44" s="4"/>
      <c r="I44" s="4"/>
    </row>
    <row r="45" spans="1:9" x14ac:dyDescent="0.2">
      <c r="C45" s="130" t="s">
        <v>33</v>
      </c>
      <c r="D45" s="130" t="s">
        <v>34</v>
      </c>
      <c r="E45" s="130" t="s">
        <v>35</v>
      </c>
      <c r="F45" s="130" t="s">
        <v>106</v>
      </c>
      <c r="G45" s="130" t="s">
        <v>140</v>
      </c>
      <c r="H45" s="130" t="s">
        <v>141</v>
      </c>
      <c r="I45" s="130" t="s">
        <v>149</v>
      </c>
    </row>
    <row r="46" spans="1:9" x14ac:dyDescent="0.2">
      <c r="A46" s="125" t="s">
        <v>124</v>
      </c>
      <c r="C46" s="131">
        <f>'HDB 1984'!I40</f>
        <v>4.8579418233316796E-2</v>
      </c>
      <c r="D46" s="131">
        <f>'Condo 99LH'!I40</f>
        <v>7.3812702070754632E-2</v>
      </c>
      <c r="E46" s="131">
        <f>'FH Condo'!I40</f>
        <v>9.4742578339837902E-2</v>
      </c>
      <c r="F46" s="124" t="s">
        <v>80</v>
      </c>
      <c r="G46" s="131">
        <f>'HDB 2005'!I40</f>
        <v>7.3631353729964877E-2</v>
      </c>
      <c r="H46" s="131">
        <f>'HDB 2015'!I40</f>
        <v>7.4152745492967576E-2</v>
      </c>
      <c r="I46" s="131">
        <f>'FH Landed (Prime)'!I40</f>
        <v>0.10599519882779429</v>
      </c>
    </row>
    <row r="47" spans="1:9" x14ac:dyDescent="0.2">
      <c r="A47" s="125" t="s">
        <v>196</v>
      </c>
      <c r="C47" s="132">
        <f>C46/Assumptions!C34</f>
        <v>2.4289709116658398</v>
      </c>
      <c r="D47" s="132">
        <f>D46/Assumptions!D34</f>
        <v>2.4604234023584879</v>
      </c>
      <c r="E47" s="132">
        <f>E46/Assumptions!E34</f>
        <v>2.3685644584959475</v>
      </c>
      <c r="F47" s="124" t="s">
        <v>80</v>
      </c>
      <c r="G47" s="132">
        <f>G46/Assumptions!F34</f>
        <v>2.4543784576654959</v>
      </c>
      <c r="H47" s="132">
        <f>H46/Assumptions!G34</f>
        <v>2.4717581830989195</v>
      </c>
      <c r="I47" s="132">
        <f>I46/Assumptions!H34</f>
        <v>2.1199039765558858</v>
      </c>
    </row>
    <row r="48" spans="1:9" x14ac:dyDescent="0.2">
      <c r="A48" s="125" t="s">
        <v>197</v>
      </c>
      <c r="C48" s="131">
        <f>C42-Assumptions!C43</f>
        <v>-3.285999610064614E-2</v>
      </c>
      <c r="D48" s="131">
        <f>D42-Assumptions!C43</f>
        <v>-2.8081783070210233E-2</v>
      </c>
      <c r="E48" s="131">
        <f>E42-Assumptions!C43</f>
        <v>2.5061301934732681E-2</v>
      </c>
      <c r="F48" s="131">
        <f>F42-Assumptions!C43</f>
        <v>2.9999999999999936E-2</v>
      </c>
      <c r="G48" s="131">
        <f>G42-Assumptions!C43</f>
        <v>1.8428168267881427E-2</v>
      </c>
      <c r="H48" s="131">
        <f>H42-Assumptions!C43</f>
        <v>1.2140680971438819E-3</v>
      </c>
      <c r="I48" s="131">
        <f>I42-Assumptions!C43</f>
        <v>6.9998919488191952E-2</v>
      </c>
    </row>
    <row r="49" spans="1:9" x14ac:dyDescent="0.2">
      <c r="A49" s="125" t="s">
        <v>198</v>
      </c>
      <c r="C49" s="132">
        <f>C39/'HDB 1984'!C10</f>
        <v>2.117631893218614</v>
      </c>
      <c r="D49" s="132">
        <f>D39/'Condo 99LH'!C10</f>
        <v>3.903968749946888</v>
      </c>
      <c r="E49" s="132">
        <f>E39/'FH Condo'!C10</f>
        <v>5.9546223001713603</v>
      </c>
      <c r="F49" s="124" t="s">
        <v>80</v>
      </c>
      <c r="G49" s="132">
        <f>G39/'HDB 2005'!C10</f>
        <v>3.2787671627260955</v>
      </c>
      <c r="H49" s="132">
        <f>H39/'HDB 2015'!C10</f>
        <v>3.7166053883308612</v>
      </c>
      <c r="I49" s="132">
        <f>I39/'FH Landed (Prime)'!C10</f>
        <v>7.4131040799481909</v>
      </c>
    </row>
    <row r="51" spans="1:9" x14ac:dyDescent="0.2">
      <c r="A51" s="134" t="s">
        <v>199</v>
      </c>
      <c r="B51" s="135"/>
      <c r="C51" s="135"/>
      <c r="D51" s="135"/>
      <c r="E51" s="135"/>
      <c r="F51" s="135"/>
      <c r="G51" s="135"/>
      <c r="H51" s="135"/>
      <c r="I51" s="135"/>
    </row>
    <row r="52" spans="1:9" ht="19" x14ac:dyDescent="0.25">
      <c r="A52" s="125" t="s">
        <v>200</v>
      </c>
      <c r="C52" s="136" t="str">
        <f>IF(C40=MAX(C40,D40,E40,F40,G40,H40,I40),"⭐","")</f>
        <v/>
      </c>
      <c r="D52" s="136" t="str">
        <f>IF(D40=MAX(C40,D40,E40,F40,G40,H40,I40),"⭐","")</f>
        <v/>
      </c>
      <c r="E52" s="136" t="str">
        <f>IF(E40=MAX(C40,D40,E40,F40,G40,H40,I40),"⭐","")</f>
        <v/>
      </c>
      <c r="F52" s="136" t="str">
        <f>IF(F40=MAX(C40,D40,E40,F40,G40,H40,I40),"⭐","")</f>
        <v/>
      </c>
      <c r="G52" s="136" t="str">
        <f>IF(G40=MAX(C40,D40,E40,F40,G40,H40,I40),"⭐","")</f>
        <v/>
      </c>
      <c r="H52" s="136" t="str">
        <f>IF(H40=MAX(C40,D40,E40,F40,G40,H40,I40),"⭐","")</f>
        <v/>
      </c>
      <c r="I52" s="136" t="str">
        <f>IF(I40=MAX(C40,D40,E40,F40,G40,H40,I40),"⭐","")</f>
        <v>⭐</v>
      </c>
    </row>
    <row r="53" spans="1:9" ht="19" x14ac:dyDescent="0.25">
      <c r="A53" s="125" t="s">
        <v>201</v>
      </c>
      <c r="C53" s="136" t="str">
        <f>IF(C46=MAX(C46,D46,E46,G46,H46,I46),"⭐","")</f>
        <v/>
      </c>
      <c r="D53" s="136" t="str">
        <f>IF(D46=MAX(C46,D46,E46,G46,H46,I46),"⭐","")</f>
        <v/>
      </c>
      <c r="E53" s="136" t="str">
        <f>IF(E46=MAX(C46,D46,E46,G46,H46,I46),"⭐","")</f>
        <v/>
      </c>
      <c r="F53" s="29" t="s">
        <v>80</v>
      </c>
      <c r="G53" s="136" t="str">
        <f>IF(G46=MAX(C46,D46,E46,G46,H46,I46),"⭐","")</f>
        <v/>
      </c>
      <c r="H53" s="136" t="str">
        <f>IF(H46=MAX(C46,D46,E46,G46,H46,I46),"⭐","")</f>
        <v/>
      </c>
      <c r="I53" s="136" t="str">
        <f>IF(I46=MAX(C46,D46,E46,G46,H46,I46),"⭐","")</f>
        <v>⭐</v>
      </c>
    </row>
    <row r="54" spans="1:9" ht="19" x14ac:dyDescent="0.25">
      <c r="A54" s="125" t="s">
        <v>202</v>
      </c>
      <c r="C54" s="136" t="str">
        <f>IF(C47=MAX(C47,D47,E47,G47,H47,I47),"⭐","")</f>
        <v/>
      </c>
      <c r="D54" s="136" t="str">
        <f>IF(D47=MAX(C47,D47,E47,G47,H47,I47),"⭐","")</f>
        <v/>
      </c>
      <c r="E54" s="136" t="str">
        <f>IF(E47=MAX(C47,D47,E47,G47,H47,I47),"⭐","")</f>
        <v/>
      </c>
      <c r="F54" s="29" t="s">
        <v>80</v>
      </c>
      <c r="G54" s="136" t="str">
        <f>IF(G47=MAX(C47,D47,E47,G47,H47,I47),"⭐","")</f>
        <v/>
      </c>
      <c r="H54" s="136" t="str">
        <f>IF(H47=MAX(C47,D47,E47,G47,H47,I47),"⭐","")</f>
        <v>⭐</v>
      </c>
      <c r="I54" s="136" t="str">
        <f>IF(I47=MAX(C47,D47,E47,G47,H47,I47),"⭐","")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FDE1-F4D0-8C4A-8A45-3C930AF249BA}">
  <dimension ref="A1:E101"/>
  <sheetViews>
    <sheetView topLeftCell="A37" workbookViewId="0">
      <selection activeCell="D29" sqref="D29"/>
    </sheetView>
  </sheetViews>
  <sheetFormatPr baseColWidth="10" defaultRowHeight="16" x14ac:dyDescent="0.2"/>
  <cols>
    <col min="4" max="5" width="36.6640625" customWidth="1"/>
  </cols>
  <sheetData>
    <row r="1" spans="1:5" x14ac:dyDescent="0.2">
      <c r="A1" s="23" t="s">
        <v>53</v>
      </c>
      <c r="B1" s="23" t="s">
        <v>54</v>
      </c>
      <c r="C1" s="106" t="s">
        <v>55</v>
      </c>
      <c r="D1" s="104" t="s">
        <v>175</v>
      </c>
      <c r="E1" s="104" t="s">
        <v>194</v>
      </c>
    </row>
    <row r="2" spans="1:5" x14ac:dyDescent="0.2">
      <c r="A2" s="7">
        <v>99</v>
      </c>
      <c r="B2" s="24">
        <v>0.9</v>
      </c>
      <c r="D2" s="63" t="str">
        <f>IF(A2&lt;20,"🚫 No bank financing",IF(A2&lt;30,"⚠️ Very restricted; max 60% LTV",IF(A2&lt;(95-Assumptions!$C$4),"⚠️ Tenure capped (loan+age ≤ lease)","✅ Standard lending")))</f>
        <v>✅ Standard lending</v>
      </c>
      <c r="E2" s="63" t="str">
        <f>IF((A2-Assumptions!$C$5)&lt;0,"🚫 Lease expired within horizon",IF((A2-Assumptions!$C$5)&lt;20,"🚫 No bank financing",IF((A2-Assumptions!$C$5)&lt;30,"⚠️ Very restricted; max 60% LTV",IF((A2-Assumptions!$C$5)&lt;(95-(Assumptions!$C$4+Assumptions!$C$5)),"⚠️ Tenure capped (loan+age ≤ lease)","✅ Standard lending"))))</f>
        <v>✅ Standard lending</v>
      </c>
    </row>
    <row r="3" spans="1:5" x14ac:dyDescent="0.2">
      <c r="A3" s="7">
        <v>98</v>
      </c>
      <c r="B3" s="24">
        <v>0.89500000000000002</v>
      </c>
      <c r="D3" s="63" t="str">
        <f>IF(A3&lt;20,"🚫 No bank financing",IF(A3&lt;30,"⚠️ Very restricted; max 60% LTV",IF(A3&lt;(95-Assumptions!$C$4),"⚠️ Tenure capped (loan+age ≤ lease)","✅ Standard lending")))</f>
        <v>✅ Standard lending</v>
      </c>
      <c r="E3" s="63" t="str">
        <f>IF((A3-Assumptions!$C$5)&lt;0,"🚫 Lease expired within horizon",IF((A3-Assumptions!$C$5)&lt;20,"🚫 No bank financing",IF((A3-Assumptions!$C$5)&lt;30,"⚠️ Very restricted; max 60% LTV",IF((A3-Assumptions!$C$5)&lt;(95-(Assumptions!$C$4+Assumptions!$C$5)),"⚠️ Tenure capped (loan+age ≤ lease)","✅ Standard lending"))))</f>
        <v>✅ Standard lending</v>
      </c>
    </row>
    <row r="4" spans="1:5" x14ac:dyDescent="0.2">
      <c r="A4" s="7">
        <v>97</v>
      </c>
      <c r="B4" s="24">
        <v>0.89</v>
      </c>
      <c r="D4" s="63" t="str">
        <f>IF(A4&lt;20,"🚫 No bank financing",IF(A4&lt;30,"⚠️ Very restricted; max 60% LTV",IF(A4&lt;(95-Assumptions!$C$4),"⚠️ Tenure capped (loan+age ≤ lease)","✅ Standard lending")))</f>
        <v>✅ Standard lending</v>
      </c>
      <c r="E4" s="63" t="str">
        <f>IF((A4-Assumptions!$C$5)&lt;0,"🚫 Lease expired within horizon",IF((A4-Assumptions!$C$5)&lt;20,"🚫 No bank financing",IF((A4-Assumptions!$C$5)&lt;30,"⚠️ Very restricted; max 60% LTV",IF((A4-Assumptions!$C$5)&lt;(95-(Assumptions!$C$4+Assumptions!$C$5)),"⚠️ Tenure capped (loan+age ≤ lease)","✅ Standard lending"))))</f>
        <v>✅ Standard lending</v>
      </c>
    </row>
    <row r="5" spans="1:5" x14ac:dyDescent="0.2">
      <c r="A5" s="7">
        <v>96</v>
      </c>
      <c r="B5" s="24">
        <v>0.88500000000000001</v>
      </c>
      <c r="D5" s="63" t="str">
        <f>IF(A5&lt;20,"🚫 No bank financing",IF(A5&lt;30,"⚠️ Very restricted; max 60% LTV",IF(A5&lt;(95-Assumptions!$C$4),"⚠️ Tenure capped (loan+age ≤ lease)","✅ Standard lending")))</f>
        <v>✅ Standard lending</v>
      </c>
      <c r="E5" s="63" t="str">
        <f>IF((A5-Assumptions!$C$5)&lt;0,"🚫 Lease expired within horizon",IF((A5-Assumptions!$C$5)&lt;20,"🚫 No bank financing",IF((A5-Assumptions!$C$5)&lt;30,"⚠️ Very restricted; max 60% LTV",IF((A5-Assumptions!$C$5)&lt;(95-(Assumptions!$C$4+Assumptions!$C$5)),"⚠️ Tenure capped (loan+age ≤ lease)","✅ Standard lending"))))</f>
        <v>✅ Standard lending</v>
      </c>
    </row>
    <row r="6" spans="1:5" x14ac:dyDescent="0.2">
      <c r="A6" s="7">
        <v>95</v>
      </c>
      <c r="B6" s="24">
        <v>0.88</v>
      </c>
      <c r="D6" s="63" t="str">
        <f>IF(A6&lt;20,"🚫 No bank financing",IF(A6&lt;30,"⚠️ Very restricted; max 60% LTV",IF(A6&lt;(95-Assumptions!$C$4),"⚠️ Tenure capped (loan+age ≤ lease)","✅ Standard lending")))</f>
        <v>✅ Standard lending</v>
      </c>
      <c r="E6" s="63" t="str">
        <f>IF((A6-Assumptions!$C$5)&lt;0,"🚫 Lease expired within horizon",IF((A6-Assumptions!$C$5)&lt;20,"🚫 No bank financing",IF((A6-Assumptions!$C$5)&lt;30,"⚠️ Very restricted; max 60% LTV",IF((A6-Assumptions!$C$5)&lt;(95-(Assumptions!$C$4+Assumptions!$C$5)),"⚠️ Tenure capped (loan+age ≤ lease)","✅ Standard lending"))))</f>
        <v>✅ Standard lending</v>
      </c>
    </row>
    <row r="7" spans="1:5" x14ac:dyDescent="0.2">
      <c r="A7" s="7">
        <v>94</v>
      </c>
      <c r="B7" s="24">
        <v>0.875</v>
      </c>
      <c r="D7" s="63" t="str">
        <f>IF(A7&lt;20,"🚫 No bank financing",IF(A7&lt;30,"⚠️ Very restricted; max 60% LTV",IF(A7&lt;(95-Assumptions!$C$4),"⚠️ Tenure capped (loan+age ≤ lease)","✅ Standard lending")))</f>
        <v>✅ Standard lending</v>
      </c>
      <c r="E7" s="63" t="str">
        <f>IF((A7-Assumptions!$C$5)&lt;0,"🚫 Lease expired within horizon",IF((A7-Assumptions!$C$5)&lt;20,"🚫 No bank financing",IF((A7-Assumptions!$C$5)&lt;30,"⚠️ Very restricted; max 60% LTV",IF((A7-Assumptions!$C$5)&lt;(95-(Assumptions!$C$4+Assumptions!$C$5)),"⚠️ Tenure capped (loan+age ≤ lease)","✅ Standard lending"))))</f>
        <v>✅ Standard lending</v>
      </c>
    </row>
    <row r="8" spans="1:5" x14ac:dyDescent="0.2">
      <c r="A8" s="7">
        <v>93</v>
      </c>
      <c r="B8" s="24">
        <v>0.87</v>
      </c>
      <c r="D8" s="63" t="str">
        <f>IF(A8&lt;20,"🚫 No bank financing",IF(A8&lt;30,"⚠️ Very restricted; max 60% LTV",IF(A8&lt;(95-Assumptions!$C$4),"⚠️ Tenure capped (loan+age ≤ lease)","✅ Standard lending")))</f>
        <v>✅ Standard lending</v>
      </c>
      <c r="E8" s="63" t="str">
        <f>IF((A8-Assumptions!$C$5)&lt;0,"🚫 Lease expired within horizon",IF((A8-Assumptions!$C$5)&lt;20,"🚫 No bank financing",IF((A8-Assumptions!$C$5)&lt;30,"⚠️ Very restricted; max 60% LTV",IF((A8-Assumptions!$C$5)&lt;(95-(Assumptions!$C$4+Assumptions!$C$5)),"⚠️ Tenure capped (loan+age ≤ lease)","✅ Standard lending"))))</f>
        <v>✅ Standard lending</v>
      </c>
    </row>
    <row r="9" spans="1:5" x14ac:dyDescent="0.2">
      <c r="A9" s="7">
        <v>92</v>
      </c>
      <c r="B9" s="24">
        <v>0.86499999999999999</v>
      </c>
      <c r="D9" s="63" t="str">
        <f>IF(A9&lt;20,"🚫 No bank financing",IF(A9&lt;30,"⚠️ Very restricted; max 60% LTV",IF(A9&lt;(95-Assumptions!$C$4),"⚠️ Tenure capped (loan+age ≤ lease)","✅ Standard lending")))</f>
        <v>✅ Standard lending</v>
      </c>
      <c r="E9" s="63" t="str">
        <f>IF((A9-Assumptions!$C$5)&lt;0,"🚫 Lease expired within horizon",IF((A9-Assumptions!$C$5)&lt;20,"🚫 No bank financing",IF((A9-Assumptions!$C$5)&lt;30,"⚠️ Very restricted; max 60% LTV",IF((A9-Assumptions!$C$5)&lt;(95-(Assumptions!$C$4+Assumptions!$C$5)),"⚠️ Tenure capped (loan+age ≤ lease)","✅ Standard lending"))))</f>
        <v>✅ Standard lending</v>
      </c>
    </row>
    <row r="10" spans="1:5" x14ac:dyDescent="0.2">
      <c r="A10" s="7">
        <v>91</v>
      </c>
      <c r="B10" s="24">
        <v>0.85499999999999998</v>
      </c>
      <c r="D10" s="63" t="str">
        <f>IF(A10&lt;20,"🚫 No bank financing",IF(A10&lt;30,"⚠️ Very restricted; max 60% LTV",IF(A10&lt;(95-Assumptions!$C$4),"⚠️ Tenure capped (loan+age ≤ lease)","✅ Standard lending")))</f>
        <v>✅ Standard lending</v>
      </c>
      <c r="E10" s="63" t="str">
        <f>IF((A10-Assumptions!$C$5)&lt;0,"🚫 Lease expired within horizon",IF((A10-Assumptions!$C$5)&lt;20,"🚫 No bank financing",IF((A10-Assumptions!$C$5)&lt;30,"⚠️ Very restricted; max 60% LTV",IF((A10-Assumptions!$C$5)&lt;(95-(Assumptions!$C$4+Assumptions!$C$5)),"⚠️ Tenure capped (loan+age ≤ lease)","✅ Standard lending"))))</f>
        <v>✅ Standard lending</v>
      </c>
    </row>
    <row r="11" spans="1:5" x14ac:dyDescent="0.2">
      <c r="A11" s="7">
        <v>90</v>
      </c>
      <c r="B11" s="24">
        <v>0.85</v>
      </c>
      <c r="D11" s="63" t="str">
        <f>IF(A11&lt;20,"🚫 No bank financing",IF(A11&lt;30,"⚠️ Very restricted; max 60% LTV",IF(A11&lt;(95-Assumptions!$C$4),"⚠️ Tenure capped (loan+age ≤ lease)","✅ Standard lending")))</f>
        <v>✅ Standard lending</v>
      </c>
      <c r="E11" s="63" t="str">
        <f>IF((A11-Assumptions!$C$5)&lt;0,"🚫 Lease expired within horizon",IF((A11-Assumptions!$C$5)&lt;20,"🚫 No bank financing",IF((A11-Assumptions!$C$5)&lt;30,"⚠️ Very restricted; max 60% LTV",IF((A11-Assumptions!$C$5)&lt;(95-(Assumptions!$C$4+Assumptions!$C$5)),"⚠️ Tenure capped (loan+age ≤ lease)","✅ Standard lending"))))</f>
        <v>✅ Standard lending</v>
      </c>
    </row>
    <row r="12" spans="1:5" x14ac:dyDescent="0.2">
      <c r="A12" s="7">
        <v>89</v>
      </c>
      <c r="B12" s="24">
        <v>0.84499999999999997</v>
      </c>
      <c r="D12" s="63" t="str">
        <f>IF(A12&lt;20,"🚫 No bank financing",IF(A12&lt;30,"⚠️ Very restricted; max 60% LTV",IF(A12&lt;(95-Assumptions!$C$4),"⚠️ Tenure capped (loan+age ≤ lease)","✅ Standard lending")))</f>
        <v>✅ Standard lending</v>
      </c>
      <c r="E12" s="63" t="str">
        <f>IF((A12-Assumptions!$C$5)&lt;0,"🚫 Lease expired within horizon",IF((A12-Assumptions!$C$5)&lt;20,"🚫 No bank financing",IF((A12-Assumptions!$C$5)&lt;30,"⚠️ Very restricted; max 60% LTV",IF((A12-Assumptions!$C$5)&lt;(95-(Assumptions!$C$4+Assumptions!$C$5)),"⚠️ Tenure capped (loan+age ≤ lease)","✅ Standard lending"))))</f>
        <v>✅ Standard lending</v>
      </c>
    </row>
    <row r="13" spans="1:5" x14ac:dyDescent="0.2">
      <c r="A13" s="7">
        <v>88</v>
      </c>
      <c r="B13" s="24">
        <v>0.84</v>
      </c>
      <c r="D13" s="63" t="str">
        <f>IF(A13&lt;20,"🚫 No bank financing",IF(A13&lt;30,"⚠️ Very restricted; max 60% LTV",IF(A13&lt;(95-Assumptions!$C$4),"⚠️ Tenure capped (loan+age ≤ lease)","✅ Standard lending")))</f>
        <v>✅ Standard lending</v>
      </c>
      <c r="E13" s="63" t="str">
        <f>IF((A13-Assumptions!$C$5)&lt;0,"🚫 Lease expired within horizon",IF((A13-Assumptions!$C$5)&lt;20,"🚫 No bank financing",IF((A13-Assumptions!$C$5)&lt;30,"⚠️ Very restricted; max 60% LTV",IF((A13-Assumptions!$C$5)&lt;(95-(Assumptions!$C$4+Assumptions!$C$5)),"⚠️ Tenure capped (loan+age ≤ lease)","✅ Standard lending"))))</f>
        <v>✅ Standard lending</v>
      </c>
    </row>
    <row r="14" spans="1:5" x14ac:dyDescent="0.2">
      <c r="A14" s="7">
        <v>87</v>
      </c>
      <c r="B14" s="24">
        <v>0.83499999999999996</v>
      </c>
      <c r="D14" s="63" t="str">
        <f>IF(A14&lt;20,"🚫 No bank financing",IF(A14&lt;30,"⚠️ Very restricted; max 60% LTV",IF(A14&lt;(95-Assumptions!$C$4),"⚠️ Tenure capped (loan+age ≤ lease)","✅ Standard lending")))</f>
        <v>✅ Standard lending</v>
      </c>
      <c r="E14" s="63" t="str">
        <f>IF((A14-Assumptions!$C$5)&lt;0,"🚫 Lease expired within horizon",IF((A14-Assumptions!$C$5)&lt;20,"🚫 No bank financing",IF((A14-Assumptions!$C$5)&lt;30,"⚠️ Very restricted; max 60% LTV",IF((A14-Assumptions!$C$5)&lt;(95-(Assumptions!$C$4+Assumptions!$C$5)),"⚠️ Tenure capped (loan+age ≤ lease)","✅ Standard lending"))))</f>
        <v>✅ Standard lending</v>
      </c>
    </row>
    <row r="15" spans="1:5" x14ac:dyDescent="0.2">
      <c r="A15" s="7">
        <v>86</v>
      </c>
      <c r="B15" s="24">
        <v>0.83</v>
      </c>
      <c r="D15" s="63" t="str">
        <f>IF(A15&lt;20,"🚫 No bank financing",IF(A15&lt;30,"⚠️ Very restricted; max 60% LTV",IF(A15&lt;(95-Assumptions!$C$4),"⚠️ Tenure capped (loan+age ≤ lease)","✅ Standard lending")))</f>
        <v>✅ Standard lending</v>
      </c>
      <c r="E15" s="63" t="str">
        <f>IF((A15-Assumptions!$C$5)&lt;0,"🚫 Lease expired within horizon",IF((A15-Assumptions!$C$5)&lt;20,"🚫 No bank financing",IF((A15-Assumptions!$C$5)&lt;30,"⚠️ Very restricted; max 60% LTV",IF((A15-Assumptions!$C$5)&lt;(95-(Assumptions!$C$4+Assumptions!$C$5)),"⚠️ Tenure capped (loan+age ≤ lease)","✅ Standard lending"))))</f>
        <v>✅ Standard lending</v>
      </c>
    </row>
    <row r="16" spans="1:5" x14ac:dyDescent="0.2">
      <c r="A16" s="7">
        <v>85</v>
      </c>
      <c r="B16" s="24">
        <v>0.82399999999999995</v>
      </c>
      <c r="D16" s="63" t="str">
        <f>IF(A16&lt;20,"🚫 No bank financing",IF(A16&lt;30,"⚠️ Very restricted; max 60% LTV",IF(A16&lt;(95-Assumptions!$C$4),"⚠️ Tenure capped (loan+age ≤ lease)","✅ Standard lending")))</f>
        <v>✅ Standard lending</v>
      </c>
      <c r="E16" s="63" t="str">
        <f>IF((A16-Assumptions!$C$5)&lt;0,"🚫 Lease expired within horizon",IF((A16-Assumptions!$C$5)&lt;20,"🚫 No bank financing",IF((A16-Assumptions!$C$5)&lt;30,"⚠️ Very restricted; max 60% LTV",IF((A16-Assumptions!$C$5)&lt;(95-(Assumptions!$C$4+Assumptions!$C$5)),"⚠️ Tenure capped (loan+age ≤ lease)","✅ Standard lending"))))</f>
        <v>✅ Standard lending</v>
      </c>
    </row>
    <row r="17" spans="1:5" x14ac:dyDescent="0.2">
      <c r="A17" s="7">
        <v>84</v>
      </c>
      <c r="B17" s="24">
        <v>0.81799999999999995</v>
      </c>
      <c r="D17" s="63" t="str">
        <f>IF(A17&lt;20,"🚫 No bank financing",IF(A17&lt;30,"⚠️ Very restricted; max 60% LTV",IF(A17&lt;(95-Assumptions!$C$4),"⚠️ Tenure capped (loan+age ≤ lease)","✅ Standard lending")))</f>
        <v>✅ Standard lending</v>
      </c>
      <c r="E17" s="63" t="str">
        <f>IF((A17-Assumptions!$C$5)&lt;0,"🚫 Lease expired within horizon",IF((A17-Assumptions!$C$5)&lt;20,"🚫 No bank financing",IF((A17-Assumptions!$C$5)&lt;30,"⚠️ Very restricted; max 60% LTV",IF((A17-Assumptions!$C$5)&lt;(95-(Assumptions!$C$4+Assumptions!$C$5)),"⚠️ Tenure capped (loan+age ≤ lease)","✅ Standard lending"))))</f>
        <v>✅ Standard lending</v>
      </c>
    </row>
    <row r="18" spans="1:5" x14ac:dyDescent="0.2">
      <c r="A18" s="7">
        <v>83</v>
      </c>
      <c r="B18" s="24">
        <v>0.81200000000000006</v>
      </c>
      <c r="D18" s="63" t="str">
        <f>IF(A18&lt;20,"🚫 No bank financing",IF(A18&lt;30,"⚠️ Very restricted; max 60% LTV",IF(A18&lt;(95-Assumptions!$C$4),"⚠️ Tenure capped (loan+age ≤ lease)","✅ Standard lending")))</f>
        <v>✅ Standard lending</v>
      </c>
      <c r="E18" s="63" t="str">
        <f>IF((A18-Assumptions!$C$5)&lt;0,"🚫 Lease expired within horizon",IF((A18-Assumptions!$C$5)&lt;20,"🚫 No bank financing",IF((A18-Assumptions!$C$5)&lt;30,"⚠️ Very restricted; max 60% LTV",IF((A18-Assumptions!$C$5)&lt;(95-(Assumptions!$C$4+Assumptions!$C$5)),"⚠️ Tenure capped (loan+age ≤ lease)","✅ Standard lending"))))</f>
        <v>✅ Standard lending</v>
      </c>
    </row>
    <row r="19" spans="1:5" x14ac:dyDescent="0.2">
      <c r="A19" s="7">
        <v>82</v>
      </c>
      <c r="B19" s="24">
        <v>0.80600000000000005</v>
      </c>
      <c r="D19" s="63" t="str">
        <f>IF(A19&lt;20,"🚫 No bank financing",IF(A19&lt;30,"⚠️ Very restricted; max 60% LTV",IF(A19&lt;(95-Assumptions!$C$4),"⚠️ Tenure capped (loan+age ≤ lease)","✅ Standard lending")))</f>
        <v>✅ Standard lending</v>
      </c>
      <c r="E19" s="63" t="str">
        <f>IF((A19-Assumptions!$C$5)&lt;0,"🚫 Lease expired within horizon",IF((A19-Assumptions!$C$5)&lt;20,"🚫 No bank financing",IF((A19-Assumptions!$C$5)&lt;30,"⚠️ Very restricted; max 60% LTV",IF((A19-Assumptions!$C$5)&lt;(95-(Assumptions!$C$4+Assumptions!$C$5)),"⚠️ Tenure capped (loan+age ≤ lease)","✅ Standard lending"))))</f>
        <v>✅ Standard lending</v>
      </c>
    </row>
    <row r="20" spans="1:5" x14ac:dyDescent="0.2">
      <c r="A20" s="7">
        <v>81</v>
      </c>
      <c r="B20" s="24">
        <v>0.8</v>
      </c>
      <c r="D20" s="63" t="str">
        <f>IF(A20&lt;20,"🚫 No bank financing",IF(A20&lt;30,"⚠️ Very restricted; max 60% LTV",IF(A20&lt;(95-Assumptions!$C$4),"⚠️ Tenure capped (loan+age ≤ lease)","✅ Standard lending")))</f>
        <v>✅ Standard lending</v>
      </c>
      <c r="E20" s="63" t="str">
        <f>IF((A20-Assumptions!$C$5)&lt;0,"🚫 Lease expired within horizon",IF((A20-Assumptions!$C$5)&lt;20,"🚫 No bank financing",IF((A20-Assumptions!$C$5)&lt;30,"⚠️ Very restricted; max 60% LTV",IF((A20-Assumptions!$C$5)&lt;(95-(Assumptions!$C$4+Assumptions!$C$5)),"⚠️ Tenure capped (loan+age ≤ lease)","✅ Standard lending"))))</f>
        <v>✅ Standard lending</v>
      </c>
    </row>
    <row r="21" spans="1:5" x14ac:dyDescent="0.2">
      <c r="A21" s="7">
        <v>80</v>
      </c>
      <c r="B21" s="24">
        <v>0.79400000000000004</v>
      </c>
      <c r="D21" s="63" t="str">
        <f>IF(A21&lt;20,"🚫 No bank financing",IF(A21&lt;30,"⚠️ Very restricted; max 60% LTV",IF(A21&lt;(95-Assumptions!$C$4),"⚠️ Tenure capped (loan+age ≤ lease)","✅ Standard lending")))</f>
        <v>✅ Standard lending</v>
      </c>
      <c r="E21" s="63" t="str">
        <f>IF((A21-Assumptions!$C$5)&lt;0,"🚫 Lease expired within horizon",IF((A21-Assumptions!$C$5)&lt;20,"🚫 No bank financing",IF((A21-Assumptions!$C$5)&lt;30,"⚠️ Very restricted; max 60% LTV",IF((A21-Assumptions!$C$5)&lt;(95-(Assumptions!$C$4+Assumptions!$C$5)),"⚠️ Tenure capped (loan+age ≤ lease)","✅ Standard lending"))))</f>
        <v>✅ Standard lending</v>
      </c>
    </row>
    <row r="22" spans="1:5" x14ac:dyDescent="0.2">
      <c r="A22" s="7">
        <v>79</v>
      </c>
      <c r="B22" s="24">
        <v>0.78800000000000003</v>
      </c>
      <c r="D22" s="63" t="str">
        <f>IF(A22&lt;20,"🚫 No bank financing",IF(A22&lt;30,"⚠️ Very restricted; max 60% LTV",IF(A22&lt;(95-Assumptions!$C$4),"⚠️ Tenure capped (loan+age ≤ lease)","✅ Standard lending")))</f>
        <v>✅ Standard lending</v>
      </c>
      <c r="E22" s="63" t="str">
        <f>IF((A22-Assumptions!$C$5)&lt;0,"🚫 Lease expired within horizon",IF((A22-Assumptions!$C$5)&lt;20,"🚫 No bank financing",IF((A22-Assumptions!$C$5)&lt;30,"⚠️ Very restricted; max 60% LTV",IF((A22-Assumptions!$C$5)&lt;(95-(Assumptions!$C$4+Assumptions!$C$5)),"⚠️ Tenure capped (loan+age ≤ lease)","✅ Standard lending"))))</f>
        <v>✅ Standard lending</v>
      </c>
    </row>
    <row r="23" spans="1:5" x14ac:dyDescent="0.2">
      <c r="A23" s="7">
        <v>78</v>
      </c>
      <c r="B23" s="24">
        <v>0.78200000000000003</v>
      </c>
      <c r="D23" s="63" t="str">
        <f>IF(A23&lt;20,"🚫 No bank financing",IF(A23&lt;30,"⚠️ Very restricted; max 60% LTV",IF(A23&lt;(95-Assumptions!$C$4),"⚠️ Tenure capped (loan+age ≤ lease)","✅ Standard lending")))</f>
        <v>✅ Standard lending</v>
      </c>
      <c r="E23" s="63" t="str">
        <f>IF((A23-Assumptions!$C$5)&lt;0,"🚫 Lease expired within horizon",IF((A23-Assumptions!$C$5)&lt;20,"🚫 No bank financing",IF((A23-Assumptions!$C$5)&lt;30,"⚠️ Very restricted; max 60% LTV",IF((A23-Assumptions!$C$5)&lt;(95-(Assumptions!$C$4+Assumptions!$C$5)),"⚠️ Tenure capped (loan+age ≤ lease)","✅ Standard lending"))))</f>
        <v>✅ Standard lending</v>
      </c>
    </row>
    <row r="24" spans="1:5" x14ac:dyDescent="0.2">
      <c r="A24" s="7">
        <v>77</v>
      </c>
      <c r="B24" s="24">
        <v>0.77600000000000002</v>
      </c>
      <c r="D24" s="63" t="str">
        <f>IF(A24&lt;20,"🚫 No bank financing",IF(A24&lt;30,"⚠️ Very restricted; max 60% LTV",IF(A24&lt;(95-Assumptions!$C$4),"⚠️ Tenure capped (loan+age ≤ lease)","✅ Standard lending")))</f>
        <v>✅ Standard lending</v>
      </c>
      <c r="E24" s="63" t="str">
        <f>IF((A24-Assumptions!$C$5)&lt;0,"🚫 Lease expired within horizon",IF((A24-Assumptions!$C$5)&lt;20,"🚫 No bank financing",IF((A24-Assumptions!$C$5)&lt;30,"⚠️ Very restricted; max 60% LTV",IF((A24-Assumptions!$C$5)&lt;(95-(Assumptions!$C$4+Assumptions!$C$5)),"⚠️ Tenure capped (loan+age ≤ lease)","✅ Standard lending"))))</f>
        <v>✅ Standard lending</v>
      </c>
    </row>
    <row r="25" spans="1:5" x14ac:dyDescent="0.2">
      <c r="A25" s="7">
        <v>76</v>
      </c>
      <c r="B25" s="24">
        <v>0.77</v>
      </c>
      <c r="D25" s="63" t="str">
        <f>IF(A25&lt;20,"🚫 No bank financing",IF(A25&lt;30,"⚠️ Very restricted; max 60% LTV",IF(A25&lt;(95-Assumptions!$C$4),"⚠️ Tenure capped (loan+age ≤ lease)","✅ Standard lending")))</f>
        <v>✅ Standard lending</v>
      </c>
      <c r="E25" s="63" t="str">
        <f>IF((A25-Assumptions!$C$5)&lt;0,"🚫 Lease expired within horizon",IF((A25-Assumptions!$C$5)&lt;20,"🚫 No bank financing",IF((A25-Assumptions!$C$5)&lt;30,"⚠️ Very restricted; max 60% LTV",IF((A25-Assumptions!$C$5)&lt;(95-(Assumptions!$C$4+Assumptions!$C$5)),"⚠️ Tenure capped (loan+age ≤ lease)","✅ Standard lending"))))</f>
        <v>✅ Standard lending</v>
      </c>
    </row>
    <row r="26" spans="1:5" x14ac:dyDescent="0.2">
      <c r="A26" s="7">
        <v>75</v>
      </c>
      <c r="B26" s="24">
        <v>0.76400000000000001</v>
      </c>
      <c r="D26" s="63" t="str">
        <f>IF(A26&lt;20,"🚫 No bank financing",IF(A26&lt;30,"⚠️ Very restricted; max 60% LTV",IF(A26&lt;(95-Assumptions!$C$4),"⚠️ Tenure capped (loan+age ≤ lease)","✅ Standard lending")))</f>
        <v>✅ Standard lending</v>
      </c>
      <c r="E26" s="63" t="str">
        <f>IF((A26-Assumptions!$C$5)&lt;0,"🚫 Lease expired within horizon",IF((A26-Assumptions!$C$5)&lt;20,"🚫 No bank financing",IF((A26-Assumptions!$C$5)&lt;30,"⚠️ Very restricted; max 60% LTV",IF((A26-Assumptions!$C$5)&lt;(95-(Assumptions!$C$4+Assumptions!$C$5)),"⚠️ Tenure capped (loan+age ≤ lease)","✅ Standard lending"))))</f>
        <v>✅ Standard lending</v>
      </c>
    </row>
    <row r="27" spans="1:5" x14ac:dyDescent="0.2">
      <c r="A27" s="7">
        <v>74</v>
      </c>
      <c r="B27" s="24">
        <v>0.75800000000000001</v>
      </c>
      <c r="D27" s="63" t="str">
        <f>IF(A27&lt;20,"🚫 No bank financing",IF(A27&lt;30,"⚠️ Very restricted; max 60% LTV",IF(A27&lt;(95-Assumptions!$C$4),"⚠️ Tenure capped (loan+age ≤ lease)","✅ Standard lending")))</f>
        <v>✅ Standard lending</v>
      </c>
      <c r="E27" s="63" t="str">
        <f>IF((A27-Assumptions!$C$5)&lt;0,"🚫 Lease expired within horizon",IF((A27-Assumptions!$C$5)&lt;20,"🚫 No bank financing",IF((A27-Assumptions!$C$5)&lt;30,"⚠️ Very restricted; max 60% LTV",IF((A27-Assumptions!$C$5)&lt;(95-(Assumptions!$C$4+Assumptions!$C$5)),"⚠️ Tenure capped (loan+age ≤ lease)","✅ Standard lending"))))</f>
        <v>✅ Standard lending</v>
      </c>
    </row>
    <row r="28" spans="1:5" x14ac:dyDescent="0.2">
      <c r="A28" s="7">
        <v>73</v>
      </c>
      <c r="B28" s="24">
        <v>0.752</v>
      </c>
      <c r="D28" s="63" t="str">
        <f>IF(A28&lt;20,"🚫 No bank financing",IF(A28&lt;30,"⚠️ Very restricted; max 60% LTV",IF(A28&lt;(95-Assumptions!$C$4),"⚠️ Tenure capped (loan+age ≤ lease)","✅ Standard lending")))</f>
        <v>✅ Standard lending</v>
      </c>
      <c r="E28" s="63" t="str">
        <f>IF((A28-Assumptions!$C$5)&lt;0,"🚫 Lease expired within horizon",IF((A28-Assumptions!$C$5)&lt;20,"🚫 No bank financing",IF((A28-Assumptions!$C$5)&lt;30,"⚠️ Very restricted; max 60% LTV",IF((A28-Assumptions!$C$5)&lt;(95-(Assumptions!$C$4+Assumptions!$C$5)),"⚠️ Tenure capped (loan+age ≤ lease)","✅ Standard lending"))))</f>
        <v>✅ Standard lending</v>
      </c>
    </row>
    <row r="29" spans="1:5" x14ac:dyDescent="0.2">
      <c r="A29" s="7">
        <v>72</v>
      </c>
      <c r="B29" s="24">
        <v>0.746</v>
      </c>
      <c r="D29" s="63" t="str">
        <f>IF(A29&lt;20,"🚫 No bank financing",IF(A29&lt;30,"⚠️ Very restricted; max 60% LTV",IF(A29&lt;(95-Assumptions!$C$4),"⚠️ Tenure capped (loan+age ≤ lease)","✅ Standard lending")))</f>
        <v>✅ Standard lending</v>
      </c>
      <c r="E29" s="63" t="str">
        <f>IF((A29-Assumptions!$C$5)&lt;0,"🚫 Lease expired within horizon",IF((A29-Assumptions!$C$5)&lt;20,"🚫 No bank financing",IF((A29-Assumptions!$C$5)&lt;30,"⚠️ Very restricted; max 60% LTV",IF((A29-Assumptions!$C$5)&lt;(95-(Assumptions!$C$4+Assumptions!$C$5)),"⚠️ Tenure capped (loan+age ≤ lease)","✅ Standard lending"))))</f>
        <v>✅ Standard lending</v>
      </c>
    </row>
    <row r="30" spans="1:5" x14ac:dyDescent="0.2">
      <c r="A30" s="7">
        <v>71</v>
      </c>
      <c r="B30" s="24">
        <v>0.74</v>
      </c>
      <c r="D30" s="63" t="str">
        <f>IF(A30&lt;20,"🚫 No bank financing",IF(A30&lt;30,"⚠️ Very restricted; max 60% LTV",IF(A30&lt;(95-Assumptions!$C$4),"⚠️ Tenure capped (loan+age ≤ lease)","✅ Standard lending")))</f>
        <v>✅ Standard lending</v>
      </c>
      <c r="E30" s="63" t="str">
        <f>IF((A30-Assumptions!$C$5)&lt;0,"🚫 Lease expired within horizon",IF((A30-Assumptions!$C$5)&lt;20,"🚫 No bank financing",IF((A30-Assumptions!$C$5)&lt;30,"⚠️ Very restricted; max 60% LTV",IF((A30-Assumptions!$C$5)&lt;(95-(Assumptions!$C$4+Assumptions!$C$5)),"⚠️ Tenure capped (loan+age ≤ lease)","✅ Standard lending"))))</f>
        <v>✅ Standard lending</v>
      </c>
    </row>
    <row r="31" spans="1:5" x14ac:dyDescent="0.2">
      <c r="A31" s="7">
        <v>70</v>
      </c>
      <c r="B31" s="24">
        <v>0.73399999999999999</v>
      </c>
      <c r="D31" s="63" t="str">
        <f>IF(A31&lt;20,"🚫 No bank financing",IF(A31&lt;30,"⚠️ Very restricted; max 60% LTV",IF(A31&lt;(95-Assumptions!$C$4),"⚠️ Tenure capped (loan+age ≤ lease)","✅ Standard lending")))</f>
        <v>✅ Standard lending</v>
      </c>
      <c r="E31" s="63" t="str">
        <f>IF((A31-Assumptions!$C$5)&lt;0,"🚫 Lease expired within horizon",IF((A31-Assumptions!$C$5)&lt;20,"🚫 No bank financing",IF((A31-Assumptions!$C$5)&lt;30,"⚠️ Very restricted; max 60% LTV",IF((A31-Assumptions!$C$5)&lt;(95-(Assumptions!$C$4+Assumptions!$C$5)),"⚠️ Tenure capped (loan+age ≤ lease)","✅ Standard lending"))))</f>
        <v>✅ Standard lending</v>
      </c>
    </row>
    <row r="32" spans="1:5" x14ac:dyDescent="0.2">
      <c r="A32" s="7">
        <v>69</v>
      </c>
      <c r="B32" s="24">
        <v>0.72699999999999998</v>
      </c>
      <c r="D32" s="63" t="str">
        <f>IF(A32&lt;20,"🚫 No bank financing",IF(A32&lt;30,"⚠️ Very restricted; max 60% LTV",IF(A32&lt;(95-Assumptions!$C$4),"⚠️ Tenure capped (loan+age ≤ lease)","✅ Standard lending")))</f>
        <v>✅ Standard lending</v>
      </c>
      <c r="E32" s="63" t="str">
        <f>IF((A32-Assumptions!$C$5)&lt;0,"🚫 Lease expired within horizon",IF((A32-Assumptions!$C$5)&lt;20,"🚫 No bank financing",IF((A32-Assumptions!$C$5)&lt;30,"⚠️ Very restricted; max 60% LTV",IF((A32-Assumptions!$C$5)&lt;(95-(Assumptions!$C$4+Assumptions!$C$5)),"⚠️ Tenure capped (loan+age ≤ lease)","✅ Standard lending"))))</f>
        <v>✅ Standard lending</v>
      </c>
    </row>
    <row r="33" spans="1:5" x14ac:dyDescent="0.2">
      <c r="A33" s="7">
        <v>68</v>
      </c>
      <c r="B33" s="24">
        <v>0.72</v>
      </c>
      <c r="D33" s="63" t="str">
        <f>IF(A33&lt;20,"🚫 No bank financing",IF(A33&lt;30,"⚠️ Very restricted; max 60% LTV",IF(A33&lt;(95-Assumptions!$C$4),"⚠️ Tenure capped (loan+age ≤ lease)","✅ Standard lending")))</f>
        <v>✅ Standard lending</v>
      </c>
      <c r="E33" s="63" t="str">
        <f>IF((A33-Assumptions!$C$5)&lt;0,"🚫 Lease expired within horizon",IF((A33-Assumptions!$C$5)&lt;20,"🚫 No bank financing",IF((A33-Assumptions!$C$5)&lt;30,"⚠️ Very restricted; max 60% LTV",IF((A33-Assumptions!$C$5)&lt;(95-(Assumptions!$C$4+Assumptions!$C$5)),"⚠️ Tenure capped (loan+age ≤ lease)","✅ Standard lending"))))</f>
        <v>✅ Standard lending</v>
      </c>
    </row>
    <row r="34" spans="1:5" x14ac:dyDescent="0.2">
      <c r="A34" s="7">
        <v>67</v>
      </c>
      <c r="B34" s="24">
        <v>0.71299999999999997</v>
      </c>
      <c r="D34" s="63" t="str">
        <f>IF(A34&lt;20,"🚫 No bank financing",IF(A34&lt;30,"⚠️ Very restricted; max 60% LTV",IF(A34&lt;(95-Assumptions!$C$4),"⚠️ Tenure capped (loan+age ≤ lease)","✅ Standard lending")))</f>
        <v>✅ Standard lending</v>
      </c>
      <c r="E34" s="63" t="str">
        <f>IF((A34-Assumptions!$C$5)&lt;0,"🚫 Lease expired within horizon",IF((A34-Assumptions!$C$5)&lt;20,"🚫 No bank financing",IF((A34-Assumptions!$C$5)&lt;30,"⚠️ Very restricted; max 60% LTV",IF((A34-Assumptions!$C$5)&lt;(95-(Assumptions!$C$4+Assumptions!$C$5)),"⚠️ Tenure capped (loan+age ≤ lease)","✅ Standard lending"))))</f>
        <v>✅ Standard lending</v>
      </c>
    </row>
    <row r="35" spans="1:5" x14ac:dyDescent="0.2">
      <c r="A35" s="7">
        <v>66</v>
      </c>
      <c r="B35" s="24">
        <v>0.70599999999999996</v>
      </c>
      <c r="D35" s="63" t="str">
        <f>IF(A35&lt;20,"🚫 No bank financing",IF(A35&lt;30,"⚠️ Very restricted; max 60% LTV",IF(A35&lt;(95-Assumptions!$C$4),"⚠️ Tenure capped (loan+age ≤ lease)","✅ Standard lending")))</f>
        <v>✅ Standard lending</v>
      </c>
      <c r="E35" s="63" t="str">
        <f>IF((A35-Assumptions!$C$5)&lt;0,"🚫 Lease expired within horizon",IF((A35-Assumptions!$C$5)&lt;20,"🚫 No bank financing",IF((A35-Assumptions!$C$5)&lt;30,"⚠️ Very restricted; max 60% LTV",IF((A35-Assumptions!$C$5)&lt;(95-(Assumptions!$C$4+Assumptions!$C$5)),"⚠️ Tenure capped (loan+age ≤ lease)","✅ Standard lending"))))</f>
        <v>✅ Standard lending</v>
      </c>
    </row>
    <row r="36" spans="1:5" x14ac:dyDescent="0.2">
      <c r="A36" s="7">
        <v>65</v>
      </c>
      <c r="B36" s="24">
        <v>0.69899999999999995</v>
      </c>
      <c r="D36" s="63" t="str">
        <f>IF(A36&lt;20,"🚫 No bank financing",IF(A36&lt;30,"⚠️ Very restricted; max 60% LTV",IF(A36&lt;(95-Assumptions!$C$4),"⚠️ Tenure capped (loan+age ≤ lease)","✅ Standard lending")))</f>
        <v>✅ Standard lending</v>
      </c>
      <c r="E36" s="63" t="str">
        <f>IF((A36-Assumptions!$C$5)&lt;0,"🚫 Lease expired within horizon",IF((A36-Assumptions!$C$5)&lt;20,"🚫 No bank financing",IF((A36-Assumptions!$C$5)&lt;30,"⚠️ Very restricted; max 60% LTV",IF((A36-Assumptions!$C$5)&lt;(95-(Assumptions!$C$4+Assumptions!$C$5)),"⚠️ Tenure capped (loan+age ≤ lease)","✅ Standard lending"))))</f>
        <v>✅ Standard lending</v>
      </c>
    </row>
    <row r="37" spans="1:5" x14ac:dyDescent="0.2">
      <c r="A37" s="7">
        <v>64</v>
      </c>
      <c r="B37" s="24">
        <v>0.69199999999999995</v>
      </c>
      <c r="D37" s="63" t="str">
        <f>IF(A37&lt;20,"🚫 No bank financing",IF(A37&lt;30,"⚠️ Very restricted; max 60% LTV",IF(A37&lt;(95-Assumptions!$C$4),"⚠️ Tenure capped (loan+age ≤ lease)","✅ Standard lending")))</f>
        <v>✅ Standard lending</v>
      </c>
      <c r="E37" s="63" t="str">
        <f>IF((A37-Assumptions!$C$5)&lt;0,"🚫 Lease expired within horizon",IF((A37-Assumptions!$C$5)&lt;20,"🚫 No bank financing",IF((A37-Assumptions!$C$5)&lt;30,"⚠️ Very restricted; max 60% LTV",IF((A37-Assumptions!$C$5)&lt;(95-(Assumptions!$C$4+Assumptions!$C$5)),"⚠️ Tenure capped (loan+age ≤ lease)","✅ Standard lending"))))</f>
        <v>✅ Standard lending</v>
      </c>
    </row>
    <row r="38" spans="1:5" x14ac:dyDescent="0.2">
      <c r="A38" s="7">
        <v>63</v>
      </c>
      <c r="B38" s="24">
        <v>0.68500000000000005</v>
      </c>
      <c r="D38" s="63" t="str">
        <f>IF(A38&lt;20,"🚫 No bank financing",IF(A38&lt;30,"⚠️ Very restricted; max 60% LTV",IF(A38&lt;(95-Assumptions!$C$4),"⚠️ Tenure capped (loan+age ≤ lease)","✅ Standard lending")))</f>
        <v>✅ Standard lending</v>
      </c>
      <c r="E38" s="63" t="str">
        <f>IF((A38-Assumptions!$C$5)&lt;0,"🚫 Lease expired within horizon",IF((A38-Assumptions!$C$5)&lt;20,"🚫 No bank financing",IF((A38-Assumptions!$C$5)&lt;30,"⚠️ Very restricted; max 60% LTV",IF((A38-Assumptions!$C$5)&lt;(95-(Assumptions!$C$4+Assumptions!$C$5)),"⚠️ Tenure capped (loan+age ≤ lease)","✅ Standard lending"))))</f>
        <v>✅ Standard lending</v>
      </c>
    </row>
    <row r="39" spans="1:5" x14ac:dyDescent="0.2">
      <c r="A39" s="7">
        <v>62</v>
      </c>
      <c r="B39" s="24">
        <v>0.67800000000000005</v>
      </c>
      <c r="D39" s="63" t="str">
        <f>IF(A39&lt;20,"🚫 No bank financing",IF(A39&lt;30,"⚠️ Very restricted; max 60% LTV",IF(A39&lt;(95-Assumptions!$C$4),"⚠️ Tenure capped (loan+age ≤ lease)","✅ Standard lending")))</f>
        <v>⚠️ Tenure capped (loan+age ≤ lease)</v>
      </c>
      <c r="E39" s="63" t="str">
        <f>IF((A39-Assumptions!$C$5)&lt;0,"🚫 Lease expired within horizon",IF((A39-Assumptions!$C$5)&lt;20,"🚫 No bank financing",IF((A39-Assumptions!$C$5)&lt;30,"⚠️ Very restricted; max 60% LTV",IF((A39-Assumptions!$C$5)&lt;(95-(Assumptions!$C$4+Assumptions!$C$5)),"⚠️ Tenure capped (loan+age ≤ lease)","✅ Standard lending"))))</f>
        <v>⚠️ Tenure capped (loan+age ≤ lease)</v>
      </c>
    </row>
    <row r="40" spans="1:5" x14ac:dyDescent="0.2">
      <c r="A40" s="7">
        <v>61</v>
      </c>
      <c r="B40" s="24">
        <v>0.67100000000000004</v>
      </c>
      <c r="D40" s="63" t="str">
        <f>IF(A40&lt;20,"🚫 No bank financing",IF(A40&lt;30,"⚠️ Very restricted; max 60% LTV",IF(A40&lt;(95-Assumptions!$C$4),"⚠️ Tenure capped (loan+age ≤ lease)","✅ Standard lending")))</f>
        <v>⚠️ Tenure capped (loan+age ≤ lease)</v>
      </c>
      <c r="E40" s="63" t="str">
        <f>IF((A40-Assumptions!$C$5)&lt;0,"🚫 Lease expired within horizon",IF((A40-Assumptions!$C$5)&lt;20,"🚫 No bank financing",IF((A40-Assumptions!$C$5)&lt;30,"⚠️ Very restricted; max 60% LTV",IF((A40-Assumptions!$C$5)&lt;(95-(Assumptions!$C$4+Assumptions!$C$5)),"⚠️ Tenure capped (loan+age ≤ lease)","✅ Standard lending"))))</f>
        <v>⚠️ Tenure capped (loan+age ≤ lease)</v>
      </c>
    </row>
    <row r="41" spans="1:5" x14ac:dyDescent="0.2">
      <c r="A41" s="7">
        <v>60</v>
      </c>
      <c r="B41" s="24">
        <v>0.66400000000000003</v>
      </c>
      <c r="D41" s="63" t="str">
        <f>IF(A41&lt;20,"🚫 No bank financing",IF(A41&lt;30,"⚠️ Very restricted; max 60% LTV",IF(A41&lt;(95-Assumptions!$C$4),"⚠️ Tenure capped (loan+age ≤ lease)","✅ Standard lending")))</f>
        <v>⚠️ Tenure capped (loan+age ≤ lease)</v>
      </c>
      <c r="E41" s="63" t="str">
        <f>IF((A41-Assumptions!$C$5)&lt;0,"🚫 Lease expired within horizon",IF((A41-Assumptions!$C$5)&lt;20,"🚫 No bank financing",IF((A41-Assumptions!$C$5)&lt;30,"⚠️ Very restricted; max 60% LTV",IF((A41-Assumptions!$C$5)&lt;(95-(Assumptions!$C$4+Assumptions!$C$5)),"⚠️ Tenure capped (loan+age ≤ lease)","✅ Standard lending"))))</f>
        <v>⚠️ Tenure capped (loan+age ≤ lease)</v>
      </c>
    </row>
    <row r="42" spans="1:5" x14ac:dyDescent="0.2">
      <c r="A42" s="7">
        <v>59</v>
      </c>
      <c r="B42" s="24">
        <v>0.65600000000000003</v>
      </c>
      <c r="D42" s="63" t="str">
        <f>IF(A42&lt;20,"🚫 No bank financing",IF(A42&lt;30,"⚠️ Very restricted; max 60% LTV",IF(A42&lt;(95-Assumptions!$C$4),"⚠️ Tenure capped (loan+age ≤ lease)","✅ Standard lending")))</f>
        <v>⚠️ Tenure capped (loan+age ≤ lease)</v>
      </c>
      <c r="E42" s="63" t="str">
        <f>IF((A42-Assumptions!$C$5)&lt;0,"🚫 Lease expired within horizon",IF((A42-Assumptions!$C$5)&lt;20,"🚫 No bank financing",IF((A42-Assumptions!$C$5)&lt;30,"⚠️ Very restricted; max 60% LTV",IF((A42-Assumptions!$C$5)&lt;(95-(Assumptions!$C$4+Assumptions!$C$5)),"⚠️ Tenure capped (loan+age ≤ lease)","✅ Standard lending"))))</f>
        <v>⚠️ Very restricted; max 60% LTV</v>
      </c>
    </row>
    <row r="43" spans="1:5" x14ac:dyDescent="0.2">
      <c r="A43" s="7">
        <v>58</v>
      </c>
      <c r="B43" s="24">
        <v>0.64800000000000002</v>
      </c>
      <c r="D43" s="63" t="str">
        <f>IF(A43&lt;20,"🚫 No bank financing",IF(A43&lt;30,"⚠️ Very restricted; max 60% LTV",IF(A43&lt;(95-Assumptions!$C$4),"⚠️ Tenure capped (loan+age ≤ lease)","✅ Standard lending")))</f>
        <v>⚠️ Tenure capped (loan+age ≤ lease)</v>
      </c>
      <c r="E43" s="63" t="str">
        <f>IF((A43-Assumptions!$C$5)&lt;0,"🚫 Lease expired within horizon",IF((A43-Assumptions!$C$5)&lt;20,"🚫 No bank financing",IF((A43-Assumptions!$C$5)&lt;30,"⚠️ Very restricted; max 60% LTV",IF((A43-Assumptions!$C$5)&lt;(95-(Assumptions!$C$4+Assumptions!$C$5)),"⚠️ Tenure capped (loan+age ≤ lease)","✅ Standard lending"))))</f>
        <v>⚠️ Very restricted; max 60% LTV</v>
      </c>
    </row>
    <row r="44" spans="1:5" x14ac:dyDescent="0.2">
      <c r="A44" s="7">
        <v>57</v>
      </c>
      <c r="B44" s="24">
        <v>0.64</v>
      </c>
      <c r="D44" s="63" t="str">
        <f>IF(A44&lt;20,"🚫 No bank financing",IF(A44&lt;30,"⚠️ Very restricted; max 60% LTV",IF(A44&lt;(95-Assumptions!$C$4),"⚠️ Tenure capped (loan+age ≤ lease)","✅ Standard lending")))</f>
        <v>⚠️ Tenure capped (loan+age ≤ lease)</v>
      </c>
      <c r="E44" s="63" t="str">
        <f>IF((A44-Assumptions!$C$5)&lt;0,"🚫 Lease expired within horizon",IF((A44-Assumptions!$C$5)&lt;20,"🚫 No bank financing",IF((A44-Assumptions!$C$5)&lt;30,"⚠️ Very restricted; max 60% LTV",IF((A44-Assumptions!$C$5)&lt;(95-(Assumptions!$C$4+Assumptions!$C$5)),"⚠️ Tenure capped (loan+age ≤ lease)","✅ Standard lending"))))</f>
        <v>⚠️ Very restricted; max 60% LTV</v>
      </c>
    </row>
    <row r="45" spans="1:5" x14ac:dyDescent="0.2">
      <c r="A45" s="7">
        <v>56</v>
      </c>
      <c r="B45" s="24">
        <v>0.63200000000000001</v>
      </c>
      <c r="D45" s="63" t="str">
        <f>IF(A45&lt;20,"🚫 No bank financing",IF(A45&lt;30,"⚠️ Very restricted; max 60% LTV",IF(A45&lt;(95-Assumptions!$C$4),"⚠️ Tenure capped (loan+age ≤ lease)","✅ Standard lending")))</f>
        <v>⚠️ Tenure capped (loan+age ≤ lease)</v>
      </c>
      <c r="E45" s="63" t="str">
        <f>IF((A45-Assumptions!$C$5)&lt;0,"🚫 Lease expired within horizon",IF((A45-Assumptions!$C$5)&lt;20,"🚫 No bank financing",IF((A45-Assumptions!$C$5)&lt;30,"⚠️ Very restricted; max 60% LTV",IF((A45-Assumptions!$C$5)&lt;(95-(Assumptions!$C$4+Assumptions!$C$5)),"⚠️ Tenure capped (loan+age ≤ lease)","✅ Standard lending"))))</f>
        <v>⚠️ Very restricted; max 60% LTV</v>
      </c>
    </row>
    <row r="46" spans="1:5" x14ac:dyDescent="0.2">
      <c r="A46" s="7">
        <v>55</v>
      </c>
      <c r="B46" s="24">
        <v>0.624</v>
      </c>
      <c r="D46" s="63" t="str">
        <f>IF(A46&lt;20,"🚫 No bank financing",IF(A46&lt;30,"⚠️ Very restricted; max 60% LTV",IF(A46&lt;(95-Assumptions!$C$4),"⚠️ Tenure capped (loan+age ≤ lease)","✅ Standard lending")))</f>
        <v>⚠️ Tenure capped (loan+age ≤ lease)</v>
      </c>
      <c r="E46" s="63" t="str">
        <f>IF((A46-Assumptions!$C$5)&lt;0,"🚫 Lease expired within horizon",IF((A46-Assumptions!$C$5)&lt;20,"🚫 No bank financing",IF((A46-Assumptions!$C$5)&lt;30,"⚠️ Very restricted; max 60% LTV",IF((A46-Assumptions!$C$5)&lt;(95-(Assumptions!$C$4+Assumptions!$C$5)),"⚠️ Tenure capped (loan+age ≤ lease)","✅ Standard lending"))))</f>
        <v>⚠️ Very restricted; max 60% LTV</v>
      </c>
    </row>
    <row r="47" spans="1:5" x14ac:dyDescent="0.2">
      <c r="A47" s="7">
        <v>54</v>
      </c>
      <c r="B47" s="24">
        <v>0.61599999999999999</v>
      </c>
      <c r="D47" s="63" t="str">
        <f>IF(A47&lt;20,"🚫 No bank financing",IF(A47&lt;30,"⚠️ Very restricted; max 60% LTV",IF(A47&lt;(95-Assumptions!$C$4),"⚠️ Tenure capped (loan+age ≤ lease)","✅ Standard lending")))</f>
        <v>⚠️ Tenure capped (loan+age ≤ lease)</v>
      </c>
      <c r="E47" s="63" t="str">
        <f>IF((A47-Assumptions!$C$5)&lt;0,"🚫 Lease expired within horizon",IF((A47-Assumptions!$C$5)&lt;20,"🚫 No bank financing",IF((A47-Assumptions!$C$5)&lt;30,"⚠️ Very restricted; max 60% LTV",IF((A47-Assumptions!$C$5)&lt;(95-(Assumptions!$C$4+Assumptions!$C$5)),"⚠️ Tenure capped (loan+age ≤ lease)","✅ Standard lending"))))</f>
        <v>⚠️ Very restricted; max 60% LTV</v>
      </c>
    </row>
    <row r="48" spans="1:5" x14ac:dyDescent="0.2">
      <c r="A48" s="7">
        <v>53</v>
      </c>
      <c r="B48" s="24">
        <v>0.60799999999999998</v>
      </c>
      <c r="D48" s="63" t="str">
        <f>IF(A48&lt;20,"🚫 No bank financing",IF(A48&lt;30,"⚠️ Very restricted; max 60% LTV",IF(A48&lt;(95-Assumptions!$C$4),"⚠️ Tenure capped (loan+age ≤ lease)","✅ Standard lending")))</f>
        <v>⚠️ Tenure capped (loan+age ≤ lease)</v>
      </c>
      <c r="E48" s="63" t="str">
        <f>IF((A48-Assumptions!$C$5)&lt;0,"🚫 Lease expired within horizon",IF((A48-Assumptions!$C$5)&lt;20,"🚫 No bank financing",IF((A48-Assumptions!$C$5)&lt;30,"⚠️ Very restricted; max 60% LTV",IF((A48-Assumptions!$C$5)&lt;(95-(Assumptions!$C$4+Assumptions!$C$5)),"⚠️ Tenure capped (loan+age ≤ lease)","✅ Standard lending"))))</f>
        <v>⚠️ Very restricted; max 60% LTV</v>
      </c>
    </row>
    <row r="49" spans="1:5" x14ac:dyDescent="0.2">
      <c r="A49" s="7">
        <v>52</v>
      </c>
      <c r="B49" s="24">
        <v>0.6</v>
      </c>
      <c r="D49" s="63" t="str">
        <f>IF(A49&lt;20,"🚫 No bank financing",IF(A49&lt;30,"⚠️ Very restricted; max 60% LTV",IF(A49&lt;(95-Assumptions!$C$4),"⚠️ Tenure capped (loan+age ≤ lease)","✅ Standard lending")))</f>
        <v>⚠️ Tenure capped (loan+age ≤ lease)</v>
      </c>
      <c r="E49" s="63" t="str">
        <f>IF((A49-Assumptions!$C$5)&lt;0,"🚫 Lease expired within horizon",IF((A49-Assumptions!$C$5)&lt;20,"🚫 No bank financing",IF((A49-Assumptions!$C$5)&lt;30,"⚠️ Very restricted; max 60% LTV",IF((A49-Assumptions!$C$5)&lt;(95-(Assumptions!$C$4+Assumptions!$C$5)),"⚠️ Tenure capped (loan+age ≤ lease)","✅ Standard lending"))))</f>
        <v>⚠️ Very restricted; max 60% LTV</v>
      </c>
    </row>
    <row r="50" spans="1:5" x14ac:dyDescent="0.2">
      <c r="A50" s="7">
        <v>51</v>
      </c>
      <c r="B50" s="24">
        <v>0.59199999999999997</v>
      </c>
      <c r="D50" s="63" t="str">
        <f>IF(A50&lt;20,"🚫 No bank financing",IF(A50&lt;30,"⚠️ Very restricted; max 60% LTV",IF(A50&lt;(95-Assumptions!$C$4),"⚠️ Tenure capped (loan+age ≤ lease)","✅ Standard lending")))</f>
        <v>⚠️ Tenure capped (loan+age ≤ lease)</v>
      </c>
      <c r="E50" s="63" t="str">
        <f>IF((A50-Assumptions!$C$5)&lt;0,"🚫 Lease expired within horizon",IF((A50-Assumptions!$C$5)&lt;20,"🚫 No bank financing",IF((A50-Assumptions!$C$5)&lt;30,"⚠️ Very restricted; max 60% LTV",IF((A50-Assumptions!$C$5)&lt;(95-(Assumptions!$C$4+Assumptions!$C$5)),"⚠️ Tenure capped (loan+age ≤ lease)","✅ Standard lending"))))</f>
        <v>⚠️ Very restricted; max 60% LTV</v>
      </c>
    </row>
    <row r="51" spans="1:5" x14ac:dyDescent="0.2">
      <c r="A51" s="7">
        <v>50</v>
      </c>
      <c r="B51" s="24">
        <v>0.58399999999999996</v>
      </c>
      <c r="D51" s="63" t="str">
        <f>IF(A51&lt;20,"🚫 No bank financing",IF(A51&lt;30,"⚠️ Very restricted; max 60% LTV",IF(A51&lt;(95-Assumptions!$C$4),"⚠️ Tenure capped (loan+age ≤ lease)","✅ Standard lending")))</f>
        <v>⚠️ Tenure capped (loan+age ≤ lease)</v>
      </c>
      <c r="E51" s="63" t="str">
        <f>IF((A51-Assumptions!$C$5)&lt;0,"🚫 Lease expired within horizon",IF((A51-Assumptions!$C$5)&lt;20,"🚫 No bank financing",IF((A51-Assumptions!$C$5)&lt;30,"⚠️ Very restricted; max 60% LTV",IF((A51-Assumptions!$C$5)&lt;(95-(Assumptions!$C$4+Assumptions!$C$5)),"⚠️ Tenure capped (loan+age ≤ lease)","✅ Standard lending"))))</f>
        <v>⚠️ Very restricted; max 60% LTV</v>
      </c>
    </row>
    <row r="52" spans="1:5" x14ac:dyDescent="0.2">
      <c r="A52" s="7">
        <v>49</v>
      </c>
      <c r="B52" s="24">
        <v>0.57499999999999996</v>
      </c>
      <c r="D52" s="63" t="str">
        <f>IF(A52&lt;20,"🚫 No bank financing",IF(A52&lt;30,"⚠️ Very restricted; max 60% LTV",IF(A52&lt;(95-Assumptions!$C$4),"⚠️ Tenure capped (loan+age ≤ lease)","✅ Standard lending")))</f>
        <v>⚠️ Tenure capped (loan+age ≤ lease)</v>
      </c>
      <c r="E52" s="63" t="str">
        <f>IF((A52-Assumptions!$C$5)&lt;0,"🚫 Lease expired within horizon",IF((A52-Assumptions!$C$5)&lt;20,"🚫 No bank financing",IF((A52-Assumptions!$C$5)&lt;30,"⚠️ Very restricted; max 60% LTV",IF((A52-Assumptions!$C$5)&lt;(95-(Assumptions!$C$4+Assumptions!$C$5)),"⚠️ Tenure capped (loan+age ≤ lease)","✅ Standard lending"))))</f>
        <v>🚫 No bank financing</v>
      </c>
    </row>
    <row r="53" spans="1:5" x14ac:dyDescent="0.2">
      <c r="A53" s="7">
        <v>48</v>
      </c>
      <c r="B53" s="24">
        <v>0.56599999999999995</v>
      </c>
      <c r="D53" s="63" t="str">
        <f>IF(A53&lt;20,"🚫 No bank financing",IF(A53&lt;30,"⚠️ Very restricted; max 60% LTV",IF(A53&lt;(95-Assumptions!$C$4),"⚠️ Tenure capped (loan+age ≤ lease)","✅ Standard lending")))</f>
        <v>⚠️ Tenure capped (loan+age ≤ lease)</v>
      </c>
      <c r="E53" s="63" t="str">
        <f>IF((A53-Assumptions!$C$5)&lt;0,"🚫 Lease expired within horizon",IF((A53-Assumptions!$C$5)&lt;20,"🚫 No bank financing",IF((A53-Assumptions!$C$5)&lt;30,"⚠️ Very restricted; max 60% LTV",IF((A53-Assumptions!$C$5)&lt;(95-(Assumptions!$C$4+Assumptions!$C$5)),"⚠️ Tenure capped (loan+age ≤ lease)","✅ Standard lending"))))</f>
        <v>🚫 No bank financing</v>
      </c>
    </row>
    <row r="54" spans="1:5" x14ac:dyDescent="0.2">
      <c r="A54" s="7">
        <v>47</v>
      </c>
      <c r="B54" s="24">
        <v>0.55700000000000005</v>
      </c>
      <c r="D54" s="63" t="str">
        <f>IF(A54&lt;20,"🚫 No bank financing",IF(A54&lt;30,"⚠️ Very restricted; max 60% LTV",IF(A54&lt;(95-Assumptions!$C$4),"⚠️ Tenure capped (loan+age ≤ lease)","✅ Standard lending")))</f>
        <v>⚠️ Tenure capped (loan+age ≤ lease)</v>
      </c>
      <c r="E54" s="63" t="str">
        <f>IF((A54-Assumptions!$C$5)&lt;0,"🚫 Lease expired within horizon",IF((A54-Assumptions!$C$5)&lt;20,"🚫 No bank financing",IF((A54-Assumptions!$C$5)&lt;30,"⚠️ Very restricted; max 60% LTV",IF((A54-Assumptions!$C$5)&lt;(95-(Assumptions!$C$4+Assumptions!$C$5)),"⚠️ Tenure capped (loan+age ≤ lease)","✅ Standard lending"))))</f>
        <v>🚫 No bank financing</v>
      </c>
    </row>
    <row r="55" spans="1:5" x14ac:dyDescent="0.2">
      <c r="A55" s="7">
        <v>46</v>
      </c>
      <c r="B55" s="24">
        <v>0.54800000000000004</v>
      </c>
      <c r="D55" s="63" t="str">
        <f>IF(A55&lt;20,"🚫 No bank financing",IF(A55&lt;30,"⚠️ Very restricted; max 60% LTV",IF(A55&lt;(95-Assumptions!$C$4),"⚠️ Tenure capped (loan+age ≤ lease)","✅ Standard lending")))</f>
        <v>⚠️ Tenure capped (loan+age ≤ lease)</v>
      </c>
      <c r="E55" s="63" t="str">
        <f>IF((A55-Assumptions!$C$5)&lt;0,"🚫 Lease expired within horizon",IF((A55-Assumptions!$C$5)&lt;20,"🚫 No bank financing",IF((A55-Assumptions!$C$5)&lt;30,"⚠️ Very restricted; max 60% LTV",IF((A55-Assumptions!$C$5)&lt;(95-(Assumptions!$C$4+Assumptions!$C$5)),"⚠️ Tenure capped (loan+age ≤ lease)","✅ Standard lending"))))</f>
        <v>🚫 No bank financing</v>
      </c>
    </row>
    <row r="56" spans="1:5" x14ac:dyDescent="0.2">
      <c r="A56" s="7">
        <v>45</v>
      </c>
      <c r="B56" s="24">
        <v>0.53900000000000003</v>
      </c>
      <c r="D56" s="63" t="str">
        <f>IF(A56&lt;20,"🚫 No bank financing",IF(A56&lt;30,"⚠️ Very restricted; max 60% LTV",IF(A56&lt;(95-Assumptions!$C$4),"⚠️ Tenure capped (loan+age ≤ lease)","✅ Standard lending")))</f>
        <v>⚠️ Tenure capped (loan+age ≤ lease)</v>
      </c>
      <c r="E56" s="63" t="str">
        <f>IF((A56-Assumptions!$C$5)&lt;0,"🚫 Lease expired within horizon",IF((A56-Assumptions!$C$5)&lt;20,"🚫 No bank financing",IF((A56-Assumptions!$C$5)&lt;30,"⚠️ Very restricted; max 60% LTV",IF((A56-Assumptions!$C$5)&lt;(95-(Assumptions!$C$4+Assumptions!$C$5)),"⚠️ Tenure capped (loan+age ≤ lease)","✅ Standard lending"))))</f>
        <v>🚫 No bank financing</v>
      </c>
    </row>
    <row r="57" spans="1:5" x14ac:dyDescent="0.2">
      <c r="A57" s="7">
        <v>44</v>
      </c>
      <c r="B57" s="24">
        <v>0.53</v>
      </c>
      <c r="D57" s="63" t="str">
        <f>IF(A57&lt;20,"🚫 No bank financing",IF(A57&lt;30,"⚠️ Very restricted; max 60% LTV",IF(A57&lt;(95-Assumptions!$C$4),"⚠️ Tenure capped (loan+age ≤ lease)","✅ Standard lending")))</f>
        <v>⚠️ Tenure capped (loan+age ≤ lease)</v>
      </c>
      <c r="E57" s="63" t="str">
        <f>IF((A57-Assumptions!$C$5)&lt;0,"🚫 Lease expired within horizon",IF((A57-Assumptions!$C$5)&lt;20,"🚫 No bank financing",IF((A57-Assumptions!$C$5)&lt;30,"⚠️ Very restricted; max 60% LTV",IF((A57-Assumptions!$C$5)&lt;(95-(Assumptions!$C$4+Assumptions!$C$5)),"⚠️ Tenure capped (loan+age ≤ lease)","✅ Standard lending"))))</f>
        <v>🚫 No bank financing</v>
      </c>
    </row>
    <row r="58" spans="1:5" x14ac:dyDescent="0.2">
      <c r="A58" s="7">
        <v>43</v>
      </c>
      <c r="B58" s="24">
        <v>0.52100000000000002</v>
      </c>
      <c r="D58" s="63" t="str">
        <f>IF(A58&lt;20,"🚫 No bank financing",IF(A58&lt;30,"⚠️ Very restricted; max 60% LTV",IF(A58&lt;(95-Assumptions!$C$4),"⚠️ Tenure capped (loan+age ≤ lease)","✅ Standard lending")))</f>
        <v>⚠️ Tenure capped (loan+age ≤ lease)</v>
      </c>
      <c r="E58" s="63" t="str">
        <f>IF((A58-Assumptions!$C$5)&lt;0,"🚫 Lease expired within horizon",IF((A58-Assumptions!$C$5)&lt;20,"🚫 No bank financing",IF((A58-Assumptions!$C$5)&lt;30,"⚠️ Very restricted; max 60% LTV",IF((A58-Assumptions!$C$5)&lt;(95-(Assumptions!$C$4+Assumptions!$C$5)),"⚠️ Tenure capped (loan+age ≤ lease)","✅ Standard lending"))))</f>
        <v>🚫 No bank financing</v>
      </c>
    </row>
    <row r="59" spans="1:5" x14ac:dyDescent="0.2">
      <c r="A59" s="7">
        <v>42</v>
      </c>
      <c r="B59" s="24">
        <v>0.51200000000000001</v>
      </c>
      <c r="D59" s="63" t="str">
        <f>IF(A59&lt;20,"🚫 No bank financing",IF(A59&lt;30,"⚠️ Very restricted; max 60% LTV",IF(A59&lt;(95-Assumptions!$C$4),"⚠️ Tenure capped (loan+age ≤ lease)","✅ Standard lending")))</f>
        <v>⚠️ Tenure capped (loan+age ≤ lease)</v>
      </c>
      <c r="E59" s="63" t="str">
        <f>IF((A59-Assumptions!$C$5)&lt;0,"🚫 Lease expired within horizon",IF((A59-Assumptions!$C$5)&lt;20,"🚫 No bank financing",IF((A59-Assumptions!$C$5)&lt;30,"⚠️ Very restricted; max 60% LTV",IF((A59-Assumptions!$C$5)&lt;(95-(Assumptions!$C$4+Assumptions!$C$5)),"⚠️ Tenure capped (loan+age ≤ lease)","✅ Standard lending"))))</f>
        <v>🚫 No bank financing</v>
      </c>
    </row>
    <row r="60" spans="1:5" x14ac:dyDescent="0.2">
      <c r="A60" s="7">
        <v>41</v>
      </c>
      <c r="B60" s="24">
        <v>0.503</v>
      </c>
      <c r="D60" s="63" t="str">
        <f>IF(A60&lt;20,"🚫 No bank financing",IF(A60&lt;30,"⚠️ Very restricted; max 60% LTV",IF(A60&lt;(95-Assumptions!$C$4),"⚠️ Tenure capped (loan+age ≤ lease)","✅ Standard lending")))</f>
        <v>⚠️ Tenure capped (loan+age ≤ lease)</v>
      </c>
      <c r="E60" s="63" t="str">
        <f>IF((A60-Assumptions!$C$5)&lt;0,"🚫 Lease expired within horizon",IF((A60-Assumptions!$C$5)&lt;20,"🚫 No bank financing",IF((A60-Assumptions!$C$5)&lt;30,"⚠️ Very restricted; max 60% LTV",IF((A60-Assumptions!$C$5)&lt;(95-(Assumptions!$C$4+Assumptions!$C$5)),"⚠️ Tenure capped (loan+age ≤ lease)","✅ Standard lending"))))</f>
        <v>🚫 No bank financing</v>
      </c>
    </row>
    <row r="61" spans="1:5" x14ac:dyDescent="0.2">
      <c r="A61" s="7">
        <v>40</v>
      </c>
      <c r="B61" s="24">
        <v>0.49399999999999999</v>
      </c>
      <c r="D61" s="63" t="str">
        <f>IF(A61&lt;20,"🚫 No bank financing",IF(A61&lt;30,"⚠️ Very restricted; max 60% LTV",IF(A61&lt;(95-Assumptions!$C$4),"⚠️ Tenure capped (loan+age ≤ lease)","✅ Standard lending")))</f>
        <v>⚠️ Tenure capped (loan+age ≤ lease)</v>
      </c>
      <c r="E61" s="63" t="str">
        <f>IF((A61-Assumptions!$C$5)&lt;0,"🚫 Lease expired within horizon",IF((A61-Assumptions!$C$5)&lt;20,"🚫 No bank financing",IF((A61-Assumptions!$C$5)&lt;30,"⚠️ Very restricted; max 60% LTV",IF((A61-Assumptions!$C$5)&lt;(95-(Assumptions!$C$4+Assumptions!$C$5)),"⚠️ Tenure capped (loan+age ≤ lease)","✅ Standard lending"))))</f>
        <v>🚫 No bank financing</v>
      </c>
    </row>
    <row r="62" spans="1:5" x14ac:dyDescent="0.2">
      <c r="A62" s="7">
        <v>39</v>
      </c>
      <c r="B62" s="24">
        <v>0.48399999999999999</v>
      </c>
      <c r="D62" s="63" t="str">
        <f>IF(A62&lt;20,"🚫 No bank financing",IF(A62&lt;30,"⚠️ Very restricted; max 60% LTV",IF(A62&lt;(95-Assumptions!$C$4),"⚠️ Tenure capped (loan+age ≤ lease)","✅ Standard lending")))</f>
        <v>⚠️ Tenure capped (loan+age ≤ lease)</v>
      </c>
      <c r="E62" s="63" t="str">
        <f>IF((A62-Assumptions!$C$5)&lt;0,"🚫 Lease expired within horizon",IF((A62-Assumptions!$C$5)&lt;20,"🚫 No bank financing",IF((A62-Assumptions!$C$5)&lt;30,"⚠️ Very restricted; max 60% LTV",IF((A62-Assumptions!$C$5)&lt;(95-(Assumptions!$C$4+Assumptions!$C$5)),"⚠️ Tenure capped (loan+age ≤ lease)","✅ Standard lending"))))</f>
        <v>🚫 No bank financing</v>
      </c>
    </row>
    <row r="63" spans="1:5" x14ac:dyDescent="0.2">
      <c r="A63" s="7">
        <v>38</v>
      </c>
      <c r="B63" s="24">
        <v>0.47399999999999998</v>
      </c>
      <c r="D63" s="63" t="str">
        <f>IF(A63&lt;20,"🚫 No bank financing",IF(A63&lt;30,"⚠️ Very restricted; max 60% LTV",IF(A63&lt;(95-Assumptions!$C$4),"⚠️ Tenure capped (loan+age ≤ lease)","✅ Standard lending")))</f>
        <v>⚠️ Tenure capped (loan+age ≤ lease)</v>
      </c>
      <c r="E63" s="63" t="str">
        <f>IF((A63-Assumptions!$C$5)&lt;0,"🚫 Lease expired within horizon",IF((A63-Assumptions!$C$5)&lt;20,"🚫 No bank financing",IF((A63-Assumptions!$C$5)&lt;30,"⚠️ Very restricted; max 60% LTV",IF((A63-Assumptions!$C$5)&lt;(95-(Assumptions!$C$4+Assumptions!$C$5)),"⚠️ Tenure capped (loan+age ≤ lease)","✅ Standard lending"))))</f>
        <v>🚫 No bank financing</v>
      </c>
    </row>
    <row r="64" spans="1:5" x14ac:dyDescent="0.2">
      <c r="A64" s="7">
        <v>37</v>
      </c>
      <c r="B64" s="24">
        <v>0.46400000000000002</v>
      </c>
      <c r="D64" s="63" t="str">
        <f>IF(A64&lt;20,"🚫 No bank financing",IF(A64&lt;30,"⚠️ Very restricted; max 60% LTV",IF(A64&lt;(95-Assumptions!$C$4),"⚠️ Tenure capped (loan+age ≤ lease)","✅ Standard lending")))</f>
        <v>⚠️ Tenure capped (loan+age ≤ lease)</v>
      </c>
      <c r="E64" s="63" t="str">
        <f>IF((A64-Assumptions!$C$5)&lt;0,"🚫 Lease expired within horizon",IF((A64-Assumptions!$C$5)&lt;20,"🚫 No bank financing",IF((A64-Assumptions!$C$5)&lt;30,"⚠️ Very restricted; max 60% LTV",IF((A64-Assumptions!$C$5)&lt;(95-(Assumptions!$C$4+Assumptions!$C$5)),"⚠️ Tenure capped (loan+age ≤ lease)","✅ Standard lending"))))</f>
        <v>🚫 No bank financing</v>
      </c>
    </row>
    <row r="65" spans="1:5" x14ac:dyDescent="0.2">
      <c r="A65" s="7">
        <v>36</v>
      </c>
      <c r="B65" s="24">
        <v>0.45400000000000001</v>
      </c>
      <c r="D65" s="63" t="str">
        <f>IF(A65&lt;20,"🚫 No bank financing",IF(A65&lt;30,"⚠️ Very restricted; max 60% LTV",IF(A65&lt;(95-Assumptions!$C$4),"⚠️ Tenure capped (loan+age ≤ lease)","✅ Standard lending")))</f>
        <v>⚠️ Tenure capped (loan+age ≤ lease)</v>
      </c>
      <c r="E65" s="63" t="str">
        <f>IF((A65-Assumptions!$C$5)&lt;0,"🚫 Lease expired within horizon",IF((A65-Assumptions!$C$5)&lt;20,"🚫 No bank financing",IF((A65-Assumptions!$C$5)&lt;30,"⚠️ Very restricted; max 60% LTV",IF((A65-Assumptions!$C$5)&lt;(95-(Assumptions!$C$4+Assumptions!$C$5)),"⚠️ Tenure capped (loan+age ≤ lease)","✅ Standard lending"))))</f>
        <v>🚫 No bank financing</v>
      </c>
    </row>
    <row r="66" spans="1:5" x14ac:dyDescent="0.2">
      <c r="A66" s="7">
        <v>35</v>
      </c>
      <c r="B66" s="24">
        <v>0.44400000000000001</v>
      </c>
      <c r="D66" s="63" t="str">
        <f>IF(A66&lt;20,"🚫 No bank financing",IF(A66&lt;30,"⚠️ Very restricted; max 60% LTV",IF(A66&lt;(95-Assumptions!$C$4),"⚠️ Tenure capped (loan+age ≤ lease)","✅ Standard lending")))</f>
        <v>⚠️ Tenure capped (loan+age ≤ lease)</v>
      </c>
      <c r="E66" s="63" t="str">
        <f>IF((A66-Assumptions!$C$5)&lt;0,"🚫 Lease expired within horizon",IF((A66-Assumptions!$C$5)&lt;20,"🚫 No bank financing",IF((A66-Assumptions!$C$5)&lt;30,"⚠️ Very restricted; max 60% LTV",IF((A66-Assumptions!$C$5)&lt;(95-(Assumptions!$C$4+Assumptions!$C$5)),"⚠️ Tenure capped (loan+age ≤ lease)","✅ Standard lending"))))</f>
        <v>🚫 No bank financing</v>
      </c>
    </row>
    <row r="67" spans="1:5" x14ac:dyDescent="0.2">
      <c r="A67" s="7">
        <v>34</v>
      </c>
      <c r="B67" s="24">
        <v>0.432</v>
      </c>
      <c r="D67" s="63" t="str">
        <f>IF(A67&lt;20,"🚫 No bank financing",IF(A67&lt;30,"⚠️ Very restricted; max 60% LTV",IF(A67&lt;(95-Assumptions!$C$4),"⚠️ Tenure capped (loan+age ≤ lease)","✅ Standard lending")))</f>
        <v>⚠️ Tenure capped (loan+age ≤ lease)</v>
      </c>
      <c r="E67" s="63" t="str">
        <f>IF((A67-Assumptions!$C$5)&lt;0,"🚫 Lease expired within horizon",IF((A67-Assumptions!$C$5)&lt;20,"🚫 No bank financing",IF((A67-Assumptions!$C$5)&lt;30,"⚠️ Very restricted; max 60% LTV",IF((A67-Assumptions!$C$5)&lt;(95-(Assumptions!$C$4+Assumptions!$C$5)),"⚠️ Tenure capped (loan+age ≤ lease)","✅ Standard lending"))))</f>
        <v>🚫 No bank financing</v>
      </c>
    </row>
    <row r="68" spans="1:5" x14ac:dyDescent="0.2">
      <c r="A68" s="7">
        <v>33</v>
      </c>
      <c r="B68" s="24">
        <v>0.42</v>
      </c>
      <c r="D68" s="63" t="str">
        <f>IF(A68&lt;20,"🚫 No bank financing",IF(A68&lt;30,"⚠️ Very restricted; max 60% LTV",IF(A68&lt;(95-Assumptions!$C$4),"⚠️ Tenure capped (loan+age ≤ lease)","✅ Standard lending")))</f>
        <v>⚠️ Tenure capped (loan+age ≤ lease)</v>
      </c>
      <c r="E68" s="63" t="str">
        <f>IF((A68-Assumptions!$C$5)&lt;0,"🚫 Lease expired within horizon",IF((A68-Assumptions!$C$5)&lt;20,"🚫 No bank financing",IF((A68-Assumptions!$C$5)&lt;30,"⚠️ Very restricted; max 60% LTV",IF((A68-Assumptions!$C$5)&lt;(95-(Assumptions!$C$4+Assumptions!$C$5)),"⚠️ Tenure capped (loan+age ≤ lease)","✅ Standard lending"))))</f>
        <v>🚫 No bank financing</v>
      </c>
    </row>
    <row r="69" spans="1:5" x14ac:dyDescent="0.2">
      <c r="A69" s="7">
        <v>32</v>
      </c>
      <c r="B69" s="24">
        <v>0.40799999999999997</v>
      </c>
      <c r="D69" s="63" t="str">
        <f>IF(A69&lt;20,"🚫 No bank financing",IF(A69&lt;30,"⚠️ Very restricted; max 60% LTV",IF(A69&lt;(95-Assumptions!$C$4),"⚠️ Tenure capped (loan+age ≤ lease)","✅ Standard lending")))</f>
        <v>⚠️ Tenure capped (loan+age ≤ lease)</v>
      </c>
      <c r="E69" s="63" t="str">
        <f>IF((A69-Assumptions!$C$5)&lt;0,"🚫 Lease expired within horizon",IF((A69-Assumptions!$C$5)&lt;20,"🚫 No bank financing",IF((A69-Assumptions!$C$5)&lt;30,"⚠️ Very restricted; max 60% LTV",IF((A69-Assumptions!$C$5)&lt;(95-(Assumptions!$C$4+Assumptions!$C$5)),"⚠️ Tenure capped (loan+age ≤ lease)","✅ Standard lending"))))</f>
        <v>🚫 No bank financing</v>
      </c>
    </row>
    <row r="70" spans="1:5" x14ac:dyDescent="0.2">
      <c r="A70" s="7">
        <v>31</v>
      </c>
      <c r="B70" s="24">
        <v>0.39600000000000002</v>
      </c>
      <c r="D70" s="63" t="str">
        <f>IF(A70&lt;20,"🚫 No bank financing",IF(A70&lt;30,"⚠️ Very restricted; max 60% LTV",IF(A70&lt;(95-Assumptions!$C$4),"⚠️ Tenure capped (loan+age ≤ lease)","✅ Standard lending")))</f>
        <v>⚠️ Tenure capped (loan+age ≤ lease)</v>
      </c>
      <c r="E70" s="63" t="str">
        <f>IF((A70-Assumptions!$C$5)&lt;0,"🚫 Lease expired within horizon",IF((A70-Assumptions!$C$5)&lt;20,"🚫 No bank financing",IF((A70-Assumptions!$C$5)&lt;30,"⚠️ Very restricted; max 60% LTV",IF((A70-Assumptions!$C$5)&lt;(95-(Assumptions!$C$4+Assumptions!$C$5)),"⚠️ Tenure capped (loan+age ≤ lease)","✅ Standard lending"))))</f>
        <v>🚫 No bank financing</v>
      </c>
    </row>
    <row r="71" spans="1:5" x14ac:dyDescent="0.2">
      <c r="A71" s="7">
        <v>30</v>
      </c>
      <c r="B71" s="24">
        <v>0.38400000000000001</v>
      </c>
      <c r="D71" s="63" t="str">
        <f>IF(A71&lt;20,"🚫 No bank financing",IF(A71&lt;30,"⚠️ Very restricted; max 60% LTV",IF(A71&lt;(95-Assumptions!$C$4),"⚠️ Tenure capped (loan+age ≤ lease)","✅ Standard lending")))</f>
        <v>⚠️ Tenure capped (loan+age ≤ lease)</v>
      </c>
      <c r="E71" s="63" t="str">
        <f>IF((A71-Assumptions!$C$5)&lt;0,"🚫 Lease expired within horizon",IF((A71-Assumptions!$C$5)&lt;20,"🚫 No bank financing",IF((A71-Assumptions!$C$5)&lt;30,"⚠️ Very restricted; max 60% LTV",IF((A71-Assumptions!$C$5)&lt;(95-(Assumptions!$C$4+Assumptions!$C$5)),"⚠️ Tenure capped (loan+age ≤ lease)","✅ Standard lending"))))</f>
        <v>🚫 No bank financing</v>
      </c>
    </row>
    <row r="72" spans="1:5" x14ac:dyDescent="0.2">
      <c r="A72" s="7">
        <v>29</v>
      </c>
      <c r="B72" s="24">
        <v>0.371</v>
      </c>
      <c r="D72" s="63" t="str">
        <f>IF(A72&lt;20,"🚫 No bank financing",IF(A72&lt;30,"⚠️ Very restricted; max 60% LTV",IF(A72&lt;(95-Assumptions!$C$4),"⚠️ Tenure capped (loan+age ≤ lease)","✅ Standard lending")))</f>
        <v>⚠️ Very restricted; max 60% LTV</v>
      </c>
      <c r="E72" s="63" t="str">
        <f>IF((A72-Assumptions!$C$5)&lt;0,"🚫 Lease expired within horizon",IF((A72-Assumptions!$C$5)&lt;20,"🚫 No bank financing",IF((A72-Assumptions!$C$5)&lt;30,"⚠️ Very restricted; max 60% LTV",IF((A72-Assumptions!$C$5)&lt;(95-(Assumptions!$C$4+Assumptions!$C$5)),"⚠️ Tenure capped (loan+age ≤ lease)","✅ Standard lending"))))</f>
        <v>🚫 Lease expired within horizon</v>
      </c>
    </row>
    <row r="73" spans="1:5" x14ac:dyDescent="0.2">
      <c r="A73" s="7">
        <v>28</v>
      </c>
      <c r="B73" s="24">
        <v>0.35799999999999998</v>
      </c>
      <c r="D73" s="63" t="str">
        <f>IF(A73&lt;20,"🚫 No bank financing",IF(A73&lt;30,"⚠️ Very restricted; max 60% LTV",IF(A73&lt;(95-Assumptions!$C$4),"⚠️ Tenure capped (loan+age ≤ lease)","✅ Standard lending")))</f>
        <v>⚠️ Very restricted; max 60% LTV</v>
      </c>
      <c r="E73" s="63" t="str">
        <f>IF((A73-Assumptions!$C$5)&lt;0,"🚫 Lease expired within horizon",IF((A73-Assumptions!$C$5)&lt;20,"🚫 No bank financing",IF((A73-Assumptions!$C$5)&lt;30,"⚠️ Very restricted; max 60% LTV",IF((A73-Assumptions!$C$5)&lt;(95-(Assumptions!$C$4+Assumptions!$C$5)),"⚠️ Tenure capped (loan+age ≤ lease)","✅ Standard lending"))))</f>
        <v>🚫 Lease expired within horizon</v>
      </c>
    </row>
    <row r="74" spans="1:5" x14ac:dyDescent="0.2">
      <c r="A74" s="7">
        <v>27</v>
      </c>
      <c r="B74" s="24">
        <v>0.34499999999999997</v>
      </c>
      <c r="D74" s="63" t="str">
        <f>IF(A74&lt;20,"🚫 No bank financing",IF(A74&lt;30,"⚠️ Very restricted; max 60% LTV",IF(A74&lt;(95-Assumptions!$C$4),"⚠️ Tenure capped (loan+age ≤ lease)","✅ Standard lending")))</f>
        <v>⚠️ Very restricted; max 60% LTV</v>
      </c>
      <c r="E74" s="63" t="str">
        <f>IF((A74-Assumptions!$C$5)&lt;0,"🚫 Lease expired within horizon",IF((A74-Assumptions!$C$5)&lt;20,"🚫 No bank financing",IF((A74-Assumptions!$C$5)&lt;30,"⚠️ Very restricted; max 60% LTV",IF((A74-Assumptions!$C$5)&lt;(95-(Assumptions!$C$4+Assumptions!$C$5)),"⚠️ Tenure capped (loan+age ≤ lease)","✅ Standard lending"))))</f>
        <v>🚫 Lease expired within horizon</v>
      </c>
    </row>
    <row r="75" spans="1:5" x14ac:dyDescent="0.2">
      <c r="A75" s="7">
        <v>26</v>
      </c>
      <c r="B75" s="24">
        <v>0.33200000000000002</v>
      </c>
      <c r="D75" s="63" t="str">
        <f>IF(A75&lt;20,"🚫 No bank financing",IF(A75&lt;30,"⚠️ Very restricted; max 60% LTV",IF(A75&lt;(95-Assumptions!$C$4),"⚠️ Tenure capped (loan+age ≤ lease)","✅ Standard lending")))</f>
        <v>⚠️ Very restricted; max 60% LTV</v>
      </c>
      <c r="E75" s="63" t="str">
        <f>IF((A75-Assumptions!$C$5)&lt;0,"🚫 Lease expired within horizon",IF((A75-Assumptions!$C$5)&lt;20,"🚫 No bank financing",IF((A75-Assumptions!$C$5)&lt;30,"⚠️ Very restricted; max 60% LTV",IF((A75-Assumptions!$C$5)&lt;(95-(Assumptions!$C$4+Assumptions!$C$5)),"⚠️ Tenure capped (loan+age ≤ lease)","✅ Standard lending"))))</f>
        <v>🚫 Lease expired within horizon</v>
      </c>
    </row>
    <row r="76" spans="1:5" x14ac:dyDescent="0.2">
      <c r="A76" s="7">
        <v>25</v>
      </c>
      <c r="B76" s="24">
        <v>0.31900000000000001</v>
      </c>
      <c r="D76" s="63" t="str">
        <f>IF(A76&lt;20,"🚫 No bank financing",IF(A76&lt;30,"⚠️ Very restricted; max 60% LTV",IF(A76&lt;(95-Assumptions!$C$4),"⚠️ Tenure capped (loan+age ≤ lease)","✅ Standard lending")))</f>
        <v>⚠️ Very restricted; max 60% LTV</v>
      </c>
      <c r="E76" s="63" t="str">
        <f>IF((A76-Assumptions!$C$5)&lt;0,"🚫 Lease expired within horizon",IF((A76-Assumptions!$C$5)&lt;20,"🚫 No bank financing",IF((A76-Assumptions!$C$5)&lt;30,"⚠️ Very restricted; max 60% LTV",IF((A76-Assumptions!$C$5)&lt;(95-(Assumptions!$C$4+Assumptions!$C$5)),"⚠️ Tenure capped (loan+age ≤ lease)","✅ Standard lending"))))</f>
        <v>🚫 Lease expired within horizon</v>
      </c>
    </row>
    <row r="77" spans="1:5" x14ac:dyDescent="0.2">
      <c r="A77" s="7">
        <v>24</v>
      </c>
      <c r="B77" s="24">
        <v>0.30499999999999999</v>
      </c>
      <c r="D77" s="63" t="str">
        <f>IF(A77&lt;20,"🚫 No bank financing",IF(A77&lt;30,"⚠️ Very restricted; max 60% LTV",IF(A77&lt;(95-Assumptions!$C$4),"⚠️ Tenure capped (loan+age ≤ lease)","✅ Standard lending")))</f>
        <v>⚠️ Very restricted; max 60% LTV</v>
      </c>
      <c r="E77" s="63" t="str">
        <f>IF((A77-Assumptions!$C$5)&lt;0,"🚫 Lease expired within horizon",IF((A77-Assumptions!$C$5)&lt;20,"🚫 No bank financing",IF((A77-Assumptions!$C$5)&lt;30,"⚠️ Very restricted; max 60% LTV",IF((A77-Assumptions!$C$5)&lt;(95-(Assumptions!$C$4+Assumptions!$C$5)),"⚠️ Tenure capped (loan+age ≤ lease)","✅ Standard lending"))))</f>
        <v>🚫 Lease expired within horizon</v>
      </c>
    </row>
    <row r="78" spans="1:5" x14ac:dyDescent="0.2">
      <c r="A78" s="7">
        <v>23</v>
      </c>
      <c r="B78" s="24">
        <v>0.29099999999999998</v>
      </c>
      <c r="D78" s="63" t="str">
        <f>IF(A78&lt;20,"🚫 No bank financing",IF(A78&lt;30,"⚠️ Very restricted; max 60% LTV",IF(A78&lt;(95-Assumptions!$C$4),"⚠️ Tenure capped (loan+age ≤ lease)","✅ Standard lending")))</f>
        <v>⚠️ Very restricted; max 60% LTV</v>
      </c>
      <c r="E78" s="63" t="str">
        <f>IF((A78-Assumptions!$C$5)&lt;0,"🚫 Lease expired within horizon",IF((A78-Assumptions!$C$5)&lt;20,"🚫 No bank financing",IF((A78-Assumptions!$C$5)&lt;30,"⚠️ Very restricted; max 60% LTV",IF((A78-Assumptions!$C$5)&lt;(95-(Assumptions!$C$4+Assumptions!$C$5)),"⚠️ Tenure capped (loan+age ≤ lease)","✅ Standard lending"))))</f>
        <v>🚫 Lease expired within horizon</v>
      </c>
    </row>
    <row r="79" spans="1:5" x14ac:dyDescent="0.2">
      <c r="A79" s="7">
        <v>22</v>
      </c>
      <c r="B79" s="24">
        <v>0.27700000000000002</v>
      </c>
      <c r="D79" s="63" t="str">
        <f>IF(A79&lt;20,"🚫 No bank financing",IF(A79&lt;30,"⚠️ Very restricted; max 60% LTV",IF(A79&lt;(95-Assumptions!$C$4),"⚠️ Tenure capped (loan+age ≤ lease)","✅ Standard lending")))</f>
        <v>⚠️ Very restricted; max 60% LTV</v>
      </c>
      <c r="E79" s="63" t="str">
        <f>IF((A79-Assumptions!$C$5)&lt;0,"🚫 Lease expired within horizon",IF((A79-Assumptions!$C$5)&lt;20,"🚫 No bank financing",IF((A79-Assumptions!$C$5)&lt;30,"⚠️ Very restricted; max 60% LTV",IF((A79-Assumptions!$C$5)&lt;(95-(Assumptions!$C$4+Assumptions!$C$5)),"⚠️ Tenure capped (loan+age ≤ lease)","✅ Standard lending"))))</f>
        <v>🚫 Lease expired within horizon</v>
      </c>
    </row>
    <row r="80" spans="1:5" x14ac:dyDescent="0.2">
      <c r="A80" s="7">
        <v>21</v>
      </c>
      <c r="B80" s="24">
        <v>0.26300000000000001</v>
      </c>
      <c r="D80" s="63" t="str">
        <f>IF(A80&lt;20,"🚫 No bank financing",IF(A80&lt;30,"⚠️ Very restricted; max 60% LTV",IF(A80&lt;(95-Assumptions!$C$4),"⚠️ Tenure capped (loan+age ≤ lease)","✅ Standard lending")))</f>
        <v>⚠️ Very restricted; max 60% LTV</v>
      </c>
      <c r="E80" s="63" t="str">
        <f>IF((A80-Assumptions!$C$5)&lt;0,"🚫 Lease expired within horizon",IF((A80-Assumptions!$C$5)&lt;20,"🚫 No bank financing",IF((A80-Assumptions!$C$5)&lt;30,"⚠️ Very restricted; max 60% LTV",IF((A80-Assumptions!$C$5)&lt;(95-(Assumptions!$C$4+Assumptions!$C$5)),"⚠️ Tenure capped (loan+age ≤ lease)","✅ Standard lending"))))</f>
        <v>🚫 Lease expired within horizon</v>
      </c>
    </row>
    <row r="81" spans="1:5" x14ac:dyDescent="0.2">
      <c r="A81" s="7">
        <v>20</v>
      </c>
      <c r="B81" s="24">
        <v>0.249</v>
      </c>
      <c r="D81" s="63" t="str">
        <f>IF(A81&lt;20,"🚫 No bank financing",IF(A81&lt;30,"⚠️ Very restricted; max 60% LTV",IF(A81&lt;(95-Assumptions!$C$4),"⚠️ Tenure capped (loan+age ≤ lease)","✅ Standard lending")))</f>
        <v>⚠️ Very restricted; max 60% LTV</v>
      </c>
      <c r="E81" s="63" t="str">
        <f>IF((A81-Assumptions!$C$5)&lt;0,"🚫 Lease expired within horizon",IF((A81-Assumptions!$C$5)&lt;20,"🚫 No bank financing",IF((A81-Assumptions!$C$5)&lt;30,"⚠️ Very restricted; max 60% LTV",IF((A81-Assumptions!$C$5)&lt;(95-(Assumptions!$C$4+Assumptions!$C$5)),"⚠️ Tenure capped (loan+age ≤ lease)","✅ Standard lending"))))</f>
        <v>🚫 Lease expired within horizon</v>
      </c>
    </row>
    <row r="82" spans="1:5" x14ac:dyDescent="0.2">
      <c r="A82" s="7">
        <v>19</v>
      </c>
      <c r="B82" s="24">
        <v>0.23400000000000001</v>
      </c>
      <c r="D82" s="63" t="str">
        <f>IF(A82&lt;20,"🚫 No bank financing",IF(A82&lt;30,"⚠️ Very restricted; max 60% LTV",IF(A82&lt;(95-Assumptions!$C$4),"⚠️ Tenure capped (loan+age ≤ lease)","✅ Standard lending")))</f>
        <v>🚫 No bank financing</v>
      </c>
      <c r="E82" s="63" t="str">
        <f>IF((A82-Assumptions!$C$5)&lt;0,"🚫 Lease expired within horizon",IF((A82-Assumptions!$C$5)&lt;20,"🚫 No bank financing",IF((A82-Assumptions!$C$5)&lt;30,"⚠️ Very restricted; max 60% LTV",IF((A82-Assumptions!$C$5)&lt;(95-(Assumptions!$C$4+Assumptions!$C$5)),"⚠️ Tenure capped (loan+age ≤ lease)","✅ Standard lending"))))</f>
        <v>🚫 Lease expired within horizon</v>
      </c>
    </row>
    <row r="83" spans="1:5" x14ac:dyDescent="0.2">
      <c r="A83" s="7">
        <v>18</v>
      </c>
      <c r="B83" s="24">
        <v>0.219</v>
      </c>
      <c r="D83" s="63" t="str">
        <f>IF(A83&lt;20,"🚫 No bank financing",IF(A83&lt;30,"⚠️ Very restricted; max 60% LTV",IF(A83&lt;(95-Assumptions!$C$4),"⚠️ Tenure capped (loan+age ≤ lease)","✅ Standard lending")))</f>
        <v>🚫 No bank financing</v>
      </c>
      <c r="E83" s="63" t="str">
        <f>IF((A83-Assumptions!$C$5)&lt;0,"🚫 Lease expired within horizon",IF((A83-Assumptions!$C$5)&lt;20,"🚫 No bank financing",IF((A83-Assumptions!$C$5)&lt;30,"⚠️ Very restricted; max 60% LTV",IF((A83-Assumptions!$C$5)&lt;(95-(Assumptions!$C$4+Assumptions!$C$5)),"⚠️ Tenure capped (loan+age ≤ lease)","✅ Standard lending"))))</f>
        <v>🚫 Lease expired within horizon</v>
      </c>
    </row>
    <row r="84" spans="1:5" x14ac:dyDescent="0.2">
      <c r="A84" s="7">
        <v>17</v>
      </c>
      <c r="B84" s="24">
        <v>0.20399999999999999</v>
      </c>
      <c r="D84" s="63" t="str">
        <f>IF(A84&lt;20,"🚫 No bank financing",IF(A84&lt;30,"⚠️ Very restricted; max 60% LTV",IF(A84&lt;(95-Assumptions!$C$4),"⚠️ Tenure capped (loan+age ≤ lease)","✅ Standard lending")))</f>
        <v>🚫 No bank financing</v>
      </c>
      <c r="E84" s="63" t="str">
        <f>IF((A84-Assumptions!$C$5)&lt;0,"🚫 Lease expired within horizon",IF((A84-Assumptions!$C$5)&lt;20,"🚫 No bank financing",IF((A84-Assumptions!$C$5)&lt;30,"⚠️ Very restricted; max 60% LTV",IF((A84-Assumptions!$C$5)&lt;(95-(Assumptions!$C$4+Assumptions!$C$5)),"⚠️ Tenure capped (loan+age ≤ lease)","✅ Standard lending"))))</f>
        <v>🚫 Lease expired within horizon</v>
      </c>
    </row>
    <row r="85" spans="1:5" x14ac:dyDescent="0.2">
      <c r="A85" s="7">
        <v>16</v>
      </c>
      <c r="B85" s="24">
        <v>0.189</v>
      </c>
      <c r="D85" s="63" t="str">
        <f>IF(A85&lt;20,"🚫 No bank financing",IF(A85&lt;30,"⚠️ Very restricted; max 60% LTV",IF(A85&lt;(95-Assumptions!$C$4),"⚠️ Tenure capped (loan+age ≤ lease)","✅ Standard lending")))</f>
        <v>🚫 No bank financing</v>
      </c>
      <c r="E85" s="63" t="str">
        <f>IF((A85-Assumptions!$C$5)&lt;0,"🚫 Lease expired within horizon",IF((A85-Assumptions!$C$5)&lt;20,"🚫 No bank financing",IF((A85-Assumptions!$C$5)&lt;30,"⚠️ Very restricted; max 60% LTV",IF((A85-Assumptions!$C$5)&lt;(95-(Assumptions!$C$4+Assumptions!$C$5)),"⚠️ Tenure capped (loan+age ≤ lease)","✅ Standard lending"))))</f>
        <v>🚫 Lease expired within horizon</v>
      </c>
    </row>
    <row r="86" spans="1:5" x14ac:dyDescent="0.2">
      <c r="A86" s="7">
        <v>15</v>
      </c>
      <c r="B86" s="24">
        <v>0.17399999999999999</v>
      </c>
      <c r="D86" s="63" t="str">
        <f>IF(A86&lt;20,"🚫 No bank financing",IF(A86&lt;30,"⚠️ Very restricted; max 60% LTV",IF(A86&lt;(95-Assumptions!$C$4),"⚠️ Tenure capped (loan+age ≤ lease)","✅ Standard lending")))</f>
        <v>🚫 No bank financing</v>
      </c>
      <c r="E86" s="63" t="str">
        <f>IF((A86-Assumptions!$C$5)&lt;0,"🚫 Lease expired within horizon",IF((A86-Assumptions!$C$5)&lt;20,"🚫 No bank financing",IF((A86-Assumptions!$C$5)&lt;30,"⚠️ Very restricted; max 60% LTV",IF((A86-Assumptions!$C$5)&lt;(95-(Assumptions!$C$4+Assumptions!$C$5)),"⚠️ Tenure capped (loan+age ≤ lease)","✅ Standard lending"))))</f>
        <v>🚫 Lease expired within horizon</v>
      </c>
    </row>
    <row r="87" spans="1:5" x14ac:dyDescent="0.2">
      <c r="A87" s="7">
        <v>14</v>
      </c>
      <c r="B87" s="24">
        <v>0.158</v>
      </c>
      <c r="D87" s="63" t="str">
        <f>IF(A87&lt;20,"🚫 No bank financing",IF(A87&lt;30,"⚠️ Very restricted; max 60% LTV",IF(A87&lt;(95-Assumptions!$C$4),"⚠️ Tenure capped (loan+age ≤ lease)","✅ Standard lending")))</f>
        <v>🚫 No bank financing</v>
      </c>
      <c r="E87" s="63" t="str">
        <f>IF((A87-Assumptions!$C$5)&lt;0,"🚫 Lease expired within horizon",IF((A87-Assumptions!$C$5)&lt;20,"🚫 No bank financing",IF((A87-Assumptions!$C$5)&lt;30,"⚠️ Very restricted; max 60% LTV",IF((A87-Assumptions!$C$5)&lt;(95-(Assumptions!$C$4+Assumptions!$C$5)),"⚠️ Tenure capped (loan+age ≤ lease)","✅ Standard lending"))))</f>
        <v>🚫 Lease expired within horizon</v>
      </c>
    </row>
    <row r="88" spans="1:5" x14ac:dyDescent="0.2">
      <c r="A88" s="7">
        <v>13</v>
      </c>
      <c r="B88" s="24">
        <v>0.14199999999999999</v>
      </c>
      <c r="D88" s="63" t="str">
        <f>IF(A88&lt;20,"🚫 No bank financing",IF(A88&lt;30,"⚠️ Very restricted; max 60% LTV",IF(A88&lt;(95-Assumptions!$C$4),"⚠️ Tenure capped (loan+age ≤ lease)","✅ Standard lending")))</f>
        <v>🚫 No bank financing</v>
      </c>
      <c r="E88" s="63" t="str">
        <f>IF((A88-Assumptions!$C$5)&lt;0,"🚫 Lease expired within horizon",IF((A88-Assumptions!$C$5)&lt;20,"🚫 No bank financing",IF((A88-Assumptions!$C$5)&lt;30,"⚠️ Very restricted; max 60% LTV",IF((A88-Assumptions!$C$5)&lt;(95-(Assumptions!$C$4+Assumptions!$C$5)),"⚠️ Tenure capped (loan+age ≤ lease)","✅ Standard lending"))))</f>
        <v>🚫 Lease expired within horizon</v>
      </c>
    </row>
    <row r="89" spans="1:5" x14ac:dyDescent="0.2">
      <c r="A89" s="7">
        <v>12</v>
      </c>
      <c r="B89" s="24">
        <v>0.126</v>
      </c>
      <c r="D89" s="63" t="str">
        <f>IF(A89&lt;20,"🚫 No bank financing",IF(A89&lt;30,"⚠️ Very restricted; max 60% LTV",IF(A89&lt;(95-Assumptions!$C$4),"⚠️ Tenure capped (loan+age ≤ lease)","✅ Standard lending")))</f>
        <v>🚫 No bank financing</v>
      </c>
      <c r="E89" s="63" t="str">
        <f>IF((A89-Assumptions!$C$5)&lt;0,"🚫 Lease expired within horizon",IF((A89-Assumptions!$C$5)&lt;20,"🚫 No bank financing",IF((A89-Assumptions!$C$5)&lt;30,"⚠️ Very restricted; max 60% LTV",IF((A89-Assumptions!$C$5)&lt;(95-(Assumptions!$C$4+Assumptions!$C$5)),"⚠️ Tenure capped (loan+age ≤ lease)","✅ Standard lending"))))</f>
        <v>🚫 Lease expired within horizon</v>
      </c>
    </row>
    <row r="90" spans="1:5" x14ac:dyDescent="0.2">
      <c r="A90" s="7">
        <v>11</v>
      </c>
      <c r="B90" s="24">
        <v>0.11</v>
      </c>
      <c r="D90" s="63" t="str">
        <f>IF(A90&lt;20,"🚫 No bank financing",IF(A90&lt;30,"⚠️ Very restricted; max 60% LTV",IF(A90&lt;(95-Assumptions!$C$4),"⚠️ Tenure capped (loan+age ≤ lease)","✅ Standard lending")))</f>
        <v>🚫 No bank financing</v>
      </c>
      <c r="E90" s="63" t="str">
        <f>IF((A90-Assumptions!$C$5)&lt;0,"🚫 Lease expired within horizon",IF((A90-Assumptions!$C$5)&lt;20,"🚫 No bank financing",IF((A90-Assumptions!$C$5)&lt;30,"⚠️ Very restricted; max 60% LTV",IF((A90-Assumptions!$C$5)&lt;(95-(Assumptions!$C$4+Assumptions!$C$5)),"⚠️ Tenure capped (loan+age ≤ lease)","✅ Standard lending"))))</f>
        <v>🚫 Lease expired within horizon</v>
      </c>
    </row>
    <row r="91" spans="1:5" x14ac:dyDescent="0.2">
      <c r="A91" s="7">
        <v>10</v>
      </c>
      <c r="B91" s="24">
        <v>9.4E-2</v>
      </c>
      <c r="D91" s="63" t="str">
        <f>IF(A91&lt;20,"🚫 No bank financing",IF(A91&lt;30,"⚠️ Very restricted; max 60% LTV",IF(A91&lt;(95-Assumptions!$C$4),"⚠️ Tenure capped (loan+age ≤ lease)","✅ Standard lending")))</f>
        <v>🚫 No bank financing</v>
      </c>
      <c r="E91" s="63" t="str">
        <f>IF((A91-Assumptions!$C$5)&lt;0,"🚫 Lease expired within horizon",IF((A91-Assumptions!$C$5)&lt;20,"🚫 No bank financing",IF((A91-Assumptions!$C$5)&lt;30,"⚠️ Very restricted; max 60% LTV",IF((A91-Assumptions!$C$5)&lt;(95-(Assumptions!$C$4+Assumptions!$C$5)),"⚠️ Tenure capped (loan+age ≤ lease)","✅ Standard lending"))))</f>
        <v>🚫 Lease expired within horizon</v>
      </c>
    </row>
    <row r="92" spans="1:5" x14ac:dyDescent="0.2">
      <c r="A92" s="7">
        <v>9</v>
      </c>
      <c r="B92" s="24">
        <v>8.4000000000000005E-2</v>
      </c>
      <c r="D92" s="63" t="str">
        <f>IF(A92&lt;20,"🚫 No bank financing",IF(A92&lt;30,"⚠️ Very restricted; max 60% LTV",IF(A92&lt;(95-Assumptions!$C$4),"⚠️ Tenure capped (loan+age ≤ lease)","✅ Standard lending")))</f>
        <v>🚫 No bank financing</v>
      </c>
      <c r="E92" s="63" t="str">
        <f>IF((A92-Assumptions!$C$5)&lt;0,"🚫 Lease expired within horizon",IF((A92-Assumptions!$C$5)&lt;20,"🚫 No bank financing",IF((A92-Assumptions!$C$5)&lt;30,"⚠️ Very restricted; max 60% LTV",IF((A92-Assumptions!$C$5)&lt;(95-(Assumptions!$C$4+Assumptions!$C$5)),"⚠️ Tenure capped (loan+age ≤ lease)","✅ Standard lending"))))</f>
        <v>🚫 Lease expired within horizon</v>
      </c>
    </row>
    <row r="93" spans="1:5" x14ac:dyDescent="0.2">
      <c r="A93" s="7">
        <v>8</v>
      </c>
      <c r="B93" s="24">
        <v>7.3999999999999996E-2</v>
      </c>
      <c r="D93" s="63" t="str">
        <f>IF(A93&lt;20,"🚫 No bank financing",IF(A93&lt;30,"⚠️ Very restricted; max 60% LTV",IF(A93&lt;(95-Assumptions!$C$4),"⚠️ Tenure capped (loan+age ≤ lease)","✅ Standard lending")))</f>
        <v>🚫 No bank financing</v>
      </c>
      <c r="E93" s="63" t="str">
        <f>IF((A93-Assumptions!$C$5)&lt;0,"🚫 Lease expired within horizon",IF((A93-Assumptions!$C$5)&lt;20,"🚫 No bank financing",IF((A93-Assumptions!$C$5)&lt;30,"⚠️ Very restricted; max 60% LTV",IF((A93-Assumptions!$C$5)&lt;(95-(Assumptions!$C$4+Assumptions!$C$5)),"⚠️ Tenure capped (loan+age ≤ lease)","✅ Standard lending"))))</f>
        <v>🚫 Lease expired within horizon</v>
      </c>
    </row>
    <row r="94" spans="1:5" x14ac:dyDescent="0.2">
      <c r="A94" s="7">
        <v>7</v>
      </c>
      <c r="B94" s="24">
        <v>6.4000000000000001E-2</v>
      </c>
      <c r="D94" s="63" t="str">
        <f>IF(A94&lt;20,"🚫 No bank financing",IF(A94&lt;30,"⚠️ Very restricted; max 60% LTV",IF(A94&lt;(95-Assumptions!$C$4),"⚠️ Tenure capped (loan+age ≤ lease)","✅ Standard lending")))</f>
        <v>🚫 No bank financing</v>
      </c>
      <c r="E94" s="63" t="str">
        <f>IF((A94-Assumptions!$C$5)&lt;0,"🚫 Lease expired within horizon",IF((A94-Assumptions!$C$5)&lt;20,"🚫 No bank financing",IF((A94-Assumptions!$C$5)&lt;30,"⚠️ Very restricted; max 60% LTV",IF((A94-Assumptions!$C$5)&lt;(95-(Assumptions!$C$4+Assumptions!$C$5)),"⚠️ Tenure capped (loan+age ≤ lease)","✅ Standard lending"))))</f>
        <v>🚫 Lease expired within horizon</v>
      </c>
    </row>
    <row r="95" spans="1:5" x14ac:dyDescent="0.2">
      <c r="A95" s="7">
        <v>6</v>
      </c>
      <c r="B95" s="24">
        <v>5.3999999999999999E-2</v>
      </c>
      <c r="D95" s="63" t="str">
        <f>IF(A95&lt;20,"🚫 No bank financing",IF(A95&lt;30,"⚠️ Very restricted; max 60% LTV",IF(A95&lt;(95-Assumptions!$C$4),"⚠️ Tenure capped (loan+age ≤ lease)","✅ Standard lending")))</f>
        <v>🚫 No bank financing</v>
      </c>
      <c r="E95" s="63" t="str">
        <f>IF((A95-Assumptions!$C$5)&lt;0,"🚫 Lease expired within horizon",IF((A95-Assumptions!$C$5)&lt;20,"🚫 No bank financing",IF((A95-Assumptions!$C$5)&lt;30,"⚠️ Very restricted; max 60% LTV",IF((A95-Assumptions!$C$5)&lt;(95-(Assumptions!$C$4+Assumptions!$C$5)),"⚠️ Tenure capped (loan+age ≤ lease)","✅ Standard lending"))))</f>
        <v>🚫 Lease expired within horizon</v>
      </c>
    </row>
    <row r="96" spans="1:5" x14ac:dyDescent="0.2">
      <c r="A96" s="7">
        <v>5</v>
      </c>
      <c r="B96" s="24">
        <v>4.3999999999999997E-2</v>
      </c>
      <c r="D96" s="63" t="str">
        <f>IF(A96&lt;20,"🚫 No bank financing",IF(A96&lt;30,"⚠️ Very restricted; max 60% LTV",IF(A96&lt;(95-Assumptions!$C$4),"⚠️ Tenure capped (loan+age ≤ lease)","✅ Standard lending")))</f>
        <v>🚫 No bank financing</v>
      </c>
      <c r="E96" s="63" t="str">
        <f>IF((A96-Assumptions!$C$5)&lt;0,"🚫 Lease expired within horizon",IF((A96-Assumptions!$C$5)&lt;20,"🚫 No bank financing",IF((A96-Assumptions!$C$5)&lt;30,"⚠️ Very restricted; max 60% LTV",IF((A96-Assumptions!$C$5)&lt;(95-(Assumptions!$C$4+Assumptions!$C$5)),"⚠️ Tenure capped (loan+age ≤ lease)","✅ Standard lending"))))</f>
        <v>🚫 Lease expired within horizon</v>
      </c>
    </row>
    <row r="97" spans="1:5" x14ac:dyDescent="0.2">
      <c r="A97" s="7">
        <v>4</v>
      </c>
      <c r="B97" s="24">
        <v>3.4000000000000002E-2</v>
      </c>
      <c r="D97" s="63" t="str">
        <f>IF(A97&lt;20,"🚫 No bank financing",IF(A97&lt;30,"⚠️ Very restricted; max 60% LTV",IF(A97&lt;(95-Assumptions!$C$4),"⚠️ Tenure capped (loan+age ≤ lease)","✅ Standard lending")))</f>
        <v>🚫 No bank financing</v>
      </c>
      <c r="E97" s="63" t="str">
        <f>IF((A97-Assumptions!$C$5)&lt;0,"🚫 Lease expired within horizon",IF((A97-Assumptions!$C$5)&lt;20,"🚫 No bank financing",IF((A97-Assumptions!$C$5)&lt;30,"⚠️ Very restricted; max 60% LTV",IF((A97-Assumptions!$C$5)&lt;(95-(Assumptions!$C$4+Assumptions!$C$5)),"⚠️ Tenure capped (loan+age ≤ lease)","✅ Standard lending"))))</f>
        <v>🚫 Lease expired within horizon</v>
      </c>
    </row>
    <row r="98" spans="1:5" x14ac:dyDescent="0.2">
      <c r="A98" s="7">
        <v>3</v>
      </c>
      <c r="B98" s="24">
        <v>2.4E-2</v>
      </c>
      <c r="D98" s="63" t="str">
        <f>IF(A98&lt;20,"🚫 No bank financing",IF(A98&lt;30,"⚠️ Very restricted; max 60% LTV",IF(A98&lt;(95-Assumptions!$C$4),"⚠️ Tenure capped (loan+age ≤ lease)","✅ Standard lending")))</f>
        <v>🚫 No bank financing</v>
      </c>
      <c r="E98" s="63" t="str">
        <f>IF((A98-Assumptions!$C$5)&lt;0,"🚫 Lease expired within horizon",IF((A98-Assumptions!$C$5)&lt;20,"🚫 No bank financing",IF((A98-Assumptions!$C$5)&lt;30,"⚠️ Very restricted; max 60% LTV",IF((A98-Assumptions!$C$5)&lt;(95-(Assumptions!$C$4+Assumptions!$C$5)),"⚠️ Tenure capped (loan+age ≤ lease)","✅ Standard lending"))))</f>
        <v>🚫 Lease expired within horizon</v>
      </c>
    </row>
    <row r="99" spans="1:5" x14ac:dyDescent="0.2">
      <c r="A99" s="7">
        <v>2</v>
      </c>
      <c r="B99" s="24">
        <v>1.4E-2</v>
      </c>
      <c r="D99" s="63" t="str">
        <f>IF(A99&lt;20,"🚫 No bank financing",IF(A99&lt;30,"⚠️ Very restricted; max 60% LTV",IF(A99&lt;(95-Assumptions!$C$4),"⚠️ Tenure capped (loan+age ≤ lease)","✅ Standard lending")))</f>
        <v>🚫 No bank financing</v>
      </c>
      <c r="E99" s="63" t="str">
        <f>IF((A99-Assumptions!$C$5)&lt;0,"🚫 Lease expired within horizon",IF((A99-Assumptions!$C$5)&lt;20,"🚫 No bank financing",IF((A99-Assumptions!$C$5)&lt;30,"⚠️ Very restricted; max 60% LTV",IF((A99-Assumptions!$C$5)&lt;(95-(Assumptions!$C$4+Assumptions!$C$5)),"⚠️ Tenure capped (loan+age ≤ lease)","✅ Standard lending"))))</f>
        <v>🚫 Lease expired within horizon</v>
      </c>
    </row>
    <row r="100" spans="1:5" x14ac:dyDescent="0.2">
      <c r="A100" s="7">
        <v>1</v>
      </c>
      <c r="B100" s="24">
        <v>7.0000000000000001E-3</v>
      </c>
      <c r="D100" s="63" t="str">
        <f>IF(A100&lt;20,"🚫 No bank financing",IF(A100&lt;30,"⚠️ Very restricted; max 60% LTV",IF(A100&lt;(95-Assumptions!$C$4),"⚠️ Tenure capped (loan+age ≤ lease)","✅ Standard lending")))</f>
        <v>🚫 No bank financing</v>
      </c>
      <c r="E100" s="63" t="str">
        <f>IF((A100-Assumptions!$C$5)&lt;0,"🚫 Lease expired within horizon",IF((A100-Assumptions!$C$5)&lt;20,"🚫 No bank financing",IF((A100-Assumptions!$C$5)&lt;30,"⚠️ Very restricted; max 60% LTV",IF((A100-Assumptions!$C$5)&lt;(95-(Assumptions!$C$4+Assumptions!$C$5)),"⚠️ Tenure capped (loan+age ≤ lease)","✅ Standard lending"))))</f>
        <v>🚫 Lease expired within horizon</v>
      </c>
    </row>
    <row r="101" spans="1:5" x14ac:dyDescent="0.2">
      <c r="A101" s="7">
        <v>0</v>
      </c>
      <c r="B101" s="24">
        <v>0</v>
      </c>
      <c r="D101" s="63" t="str">
        <f>IF(A101&lt;20,"🚫 No bank financing",IF(A101&lt;30,"⚠️ Very restricted; max 60% LTV",IF(A101&lt;(95-Assumptions!$C$4),"⚠️ Tenure capped (loan+age ≤ lease)","✅ Standard lending")))</f>
        <v>🚫 No bank financing</v>
      </c>
      <c r="E101" s="63" t="str">
        <f>IF((A101-Assumptions!$C$5)&lt;0,"🚫 Lease expired within horizon",IF((A101-Assumptions!$C$5)&lt;20,"🚫 No bank financing",IF((A101-Assumptions!$C$5)&lt;30,"⚠️ Very restricted; max 60% LTV",IF((A101-Assumptions!$C$5)&lt;(95-(Assumptions!$C$4+Assumptions!$C$5)),"⚠️ Tenure capped (loan+age ≤ lease)","✅ Standard lending"))))</f>
        <v>🚫 Lease expired within horizon</v>
      </c>
    </row>
  </sheetData>
  <conditionalFormatting sqref="E2:E101">
    <cfRule type="containsText" dxfId="4" priority="1" operator="containsText" text="Standard lending">
      <formula>NOT(ISERROR(SEARCH("Standard lending",E2)))</formula>
    </cfRule>
    <cfRule type="containsText" dxfId="3" priority="2" operator="containsText" text="Tenure capped">
      <formula>NOT(ISERROR(SEARCH("Tenure capped",E2)))</formula>
    </cfRule>
    <cfRule type="containsText" dxfId="2" priority="3" operator="containsText" text="Very restricted">
      <formula>NOT(ISERROR(SEARCH("Very restricted",E2)))</formula>
    </cfRule>
    <cfRule type="containsText" dxfId="1" priority="4" operator="containsText" text="No bank financing">
      <formula>NOT(ISERROR(SEARCH("No bank financing",E2)))</formula>
    </cfRule>
    <cfRule type="containsText" dxfId="0" priority="5" operator="containsText" text="Lease expired">
      <formula>NOT(ISERROR(SEARCH("Lease expired",E2)))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A31E-A488-8F4A-A105-A748C93FBD7C}">
  <dimension ref="A1:S43"/>
  <sheetViews>
    <sheetView topLeftCell="A4" workbookViewId="0">
      <selection activeCell="L24" sqref="L24"/>
    </sheetView>
  </sheetViews>
  <sheetFormatPr baseColWidth="10" defaultRowHeight="16" x14ac:dyDescent="0.2"/>
  <cols>
    <col min="1" max="17" width="16.6640625" customWidth="1"/>
  </cols>
  <sheetData>
    <row r="1" spans="1:19" ht="19" x14ac:dyDescent="0.25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9" x14ac:dyDescent="0.2">
      <c r="A3" s="23" t="s">
        <v>57</v>
      </c>
      <c r="B3" s="4"/>
      <c r="C3" s="4"/>
    </row>
    <row r="4" spans="1:19" x14ac:dyDescent="0.2">
      <c r="A4" t="s">
        <v>36</v>
      </c>
      <c r="C4" s="21">
        <f>Assumptions!C31</f>
        <v>1400000</v>
      </c>
    </row>
    <row r="5" spans="1:19" x14ac:dyDescent="0.2">
      <c r="A5" t="s">
        <v>58</v>
      </c>
      <c r="C5" s="21">
        <f>Assumptions!C22*Assumptions!C31</f>
        <v>1050000</v>
      </c>
    </row>
    <row r="6" spans="1:19" x14ac:dyDescent="0.2">
      <c r="A6" t="s">
        <v>59</v>
      </c>
      <c r="C6" s="21">
        <f>Assumptions!C23*Assumptions!C31-C7</f>
        <v>200000</v>
      </c>
    </row>
    <row r="7" spans="1:19" x14ac:dyDescent="0.2">
      <c r="A7" t="s">
        <v>60</v>
      </c>
      <c r="C7" s="21">
        <f>MIN(Assumptions!C24*Assumptions!C31,Assumptions!C8)</f>
        <v>150000</v>
      </c>
    </row>
    <row r="8" spans="1:19" x14ac:dyDescent="0.2">
      <c r="A8" t="s">
        <v>61</v>
      </c>
      <c r="C8" s="21">
        <f>Assumptions!C51</f>
        <v>62200</v>
      </c>
    </row>
    <row r="9" spans="1:19" x14ac:dyDescent="0.2">
      <c r="A9" t="s">
        <v>62</v>
      </c>
      <c r="C9" s="25">
        <f>C6+C8</f>
        <v>262200</v>
      </c>
    </row>
    <row r="10" spans="1:19" x14ac:dyDescent="0.2">
      <c r="A10" t="s">
        <v>63</v>
      </c>
      <c r="C10" s="25">
        <f>C6+C7+C8</f>
        <v>412200</v>
      </c>
    </row>
    <row r="11" spans="1:19" x14ac:dyDescent="0.2">
      <c r="A11" t="s">
        <v>64</v>
      </c>
      <c r="C11" s="21">
        <f>PMT('Scenario Tables'!C$27/12,Assumptions!C26*12,-C5)</f>
        <v>4203.5669711318678</v>
      </c>
    </row>
    <row r="12" spans="1:19" x14ac:dyDescent="0.2">
      <c r="A12" t="s">
        <v>65</v>
      </c>
      <c r="C12" s="21">
        <f>C11*12</f>
        <v>50442.803653582414</v>
      </c>
    </row>
    <row r="14" spans="1:19" ht="51" x14ac:dyDescent="0.2">
      <c r="A14" s="26" t="s">
        <v>66</v>
      </c>
      <c r="B14" s="26" t="s">
        <v>67</v>
      </c>
      <c r="C14" s="28" t="s">
        <v>68</v>
      </c>
      <c r="D14" s="28" t="s">
        <v>69</v>
      </c>
      <c r="E14" s="28" t="s">
        <v>70</v>
      </c>
      <c r="F14" s="28" t="s">
        <v>71</v>
      </c>
      <c r="G14" s="28" t="s">
        <v>72</v>
      </c>
      <c r="H14" s="28" t="s">
        <v>73</v>
      </c>
      <c r="I14" s="28" t="s">
        <v>74</v>
      </c>
      <c r="J14" s="28" t="s">
        <v>75</v>
      </c>
      <c r="K14" s="73" t="s">
        <v>184</v>
      </c>
      <c r="L14" s="28" t="s">
        <v>185</v>
      </c>
      <c r="M14" s="28" t="s">
        <v>186</v>
      </c>
      <c r="N14" s="28" t="s">
        <v>76</v>
      </c>
      <c r="O14" s="28" t="s">
        <v>77</v>
      </c>
      <c r="P14" s="28" t="s">
        <v>78</v>
      </c>
      <c r="Q14" s="28" t="s">
        <v>79</v>
      </c>
      <c r="R14" s="73" t="s">
        <v>189</v>
      </c>
      <c r="S14" s="73" t="s">
        <v>190</v>
      </c>
    </row>
    <row r="15" spans="1:19" x14ac:dyDescent="0.2">
      <c r="A15" s="30">
        <v>0</v>
      </c>
      <c r="B15" s="30">
        <f>Assumptions!C4</f>
        <v>32</v>
      </c>
      <c r="C15" s="30">
        <f>Assumptions!C33</f>
        <v>57</v>
      </c>
      <c r="D15" s="31">
        <f>VLOOKUP(C15,'Bala Table'!A:B,2,FALSE)</f>
        <v>0.64</v>
      </c>
      <c r="E15" s="21">
        <f>C4/D15</f>
        <v>2187500</v>
      </c>
      <c r="F15" s="21">
        <f>C4</f>
        <v>1400000</v>
      </c>
      <c r="G15" s="21">
        <f>C5</f>
        <v>1050000</v>
      </c>
      <c r="H15" s="21">
        <f>F15-G15</f>
        <v>350000</v>
      </c>
      <c r="I15" s="29" t="s">
        <v>80</v>
      </c>
      <c r="J15" s="29" t="s">
        <v>80</v>
      </c>
      <c r="K15" s="29" t="s">
        <v>80</v>
      </c>
      <c r="L15" s="29" t="s">
        <v>80</v>
      </c>
      <c r="M15" s="29" t="s">
        <v>80</v>
      </c>
      <c r="N15" s="29" t="s">
        <v>80</v>
      </c>
      <c r="O15" s="29" t="s">
        <v>80</v>
      </c>
      <c r="P15" s="21">
        <v>0</v>
      </c>
      <c r="Q15" s="21">
        <f>H15-P15</f>
        <v>350000</v>
      </c>
      <c r="R15" s="124" t="s">
        <v>80</v>
      </c>
      <c r="S15" s="124" t="s">
        <v>80</v>
      </c>
    </row>
    <row r="16" spans="1:19" x14ac:dyDescent="0.2">
      <c r="A16" s="30">
        <f>A15+1</f>
        <v>1</v>
      </c>
      <c r="B16" s="30">
        <f>B15+1</f>
        <v>33</v>
      </c>
      <c r="C16" s="30">
        <f>C15-1</f>
        <v>56</v>
      </c>
      <c r="D16" s="31">
        <f>VLOOKUP(C16,'Bala Table'!$A:$B,2,FALSE)</f>
        <v>0.63200000000000001</v>
      </c>
      <c r="E16" s="21">
        <f>E15*(1+Assumptions!$C$34)</f>
        <v>2231250</v>
      </c>
      <c r="F16" s="21">
        <f>E16*D16</f>
        <v>1410150</v>
      </c>
      <c r="G16" s="21">
        <f>IF(A16&lt;=Assumptions!$C$26,PV('Scenario Tables'!C$27/12,(Assumptions!$C$26-A16)*12,-$C$11),0)</f>
        <v>1026579.4097447618</v>
      </c>
      <c r="H16" s="21">
        <f>F16-G16</f>
        <v>383570.59025523823</v>
      </c>
      <c r="I16" s="21">
        <f>IF(A16&lt;=Assumptions!$C$26,G15*'Scenario Tables'!C$27,0)</f>
        <v>27300</v>
      </c>
      <c r="J16" s="21">
        <f>IF(A16&lt;=Assumptions!$C$26,$C$12-I16,0)</f>
        <v>23142.803653582414</v>
      </c>
      <c r="K16" s="21">
        <f>IF(Assumptions!$C$39="Investment",Assumptions!$C$35*12*(1+Assumptions!$C$36)^(A16-1)*(1-Assumptions!$C$40),Assumptions!$C$35*12*(1+Assumptions!$C$36)^(A16-1))</f>
        <v>54000</v>
      </c>
      <c r="L16" s="21">
        <f>IF(Assumptions!$C$39="Investment",_xlfn.LET(_xlpm.gr,Assumptions!$C$35*12*(1+Assumptions!$C$36)^(A16-1),Assumptions!$C$37*(1+Assumptions!$C$36)^(A16-1)+MIN(_xlpm.gr,30000)*0.12+MAX(0,MIN(_xlpm.gr,45000)-30000)*0.2+MAX(0,MIN(_xlpm.gr,60000)-45000)*0.28+MAX(0,_xlpm.gr-60000)*0.36+K16*Assumptions!$C$41),Assumptions!$C$37*(1+Assumptions!$C$36)^(A16-1)+MAX(0,MIN(K16,25000)-12000)*0.04+MAX(0,MIN(K16,38000)-25000)*0.06+MAX(0,MIN(K16,50000)-38000)*0.08+MAX(0,MIN(K16,65000)-50000)*0.1+MAX(0,MIN(K16,80000)-65000)*0.12+MAX(0,MIN(K16,95000)-80000)*0.14+MAX(0,MIN(K16,110000)-95000)*0.16+MAX(0,K16-110000)*0.23)</f>
        <v>3740</v>
      </c>
      <c r="M16" s="21">
        <f>IF(Assumptions!$C$39="Investment",(K16-I16-L16)*(1-Assumptions!$C$42),K16-I16-L16)</f>
        <v>22960</v>
      </c>
      <c r="N16" s="21">
        <f>IF(A16=1,M16,N15+M16)</f>
        <v>22960</v>
      </c>
      <c r="O16" s="31">
        <f>(H16-$C$10)/$C$10</f>
        <v>-6.9455142515191096E-2</v>
      </c>
      <c r="P16" s="21">
        <f>Assumptions!$C$8*(1+Assumptions!$C$9)^A16-Assumptions!$C$8+$C$7*((1+Assumptions!$C$9)^A16-1)</f>
        <v>7499.9999999999873</v>
      </c>
      <c r="Q16" s="21">
        <f>H16-P16</f>
        <v>376070.59025523823</v>
      </c>
      <c r="R16" s="21">
        <f>N16/(1+Assumptions!$C$43)^A16</f>
        <v>22400.000000000004</v>
      </c>
      <c r="S16">
        <f>((H16/$C$10)^(1/A16))/(1+Assumptions!$C$43)-1</f>
        <v>-9.2151358551405882E-2</v>
      </c>
    </row>
    <row r="17" spans="1:19" x14ac:dyDescent="0.2">
      <c r="A17" s="30">
        <f t="shared" ref="A17:A35" si="0">A16+1</f>
        <v>2</v>
      </c>
      <c r="B17" s="30">
        <f t="shared" ref="B17:B35" si="1">B16+1</f>
        <v>34</v>
      </c>
      <c r="C17" s="30">
        <f t="shared" ref="C17:C35" si="2">C16-1</f>
        <v>55</v>
      </c>
      <c r="D17" s="31">
        <f>VLOOKUP(C17,'Bala Table'!$A:$B,2,FALSE)</f>
        <v>0.624</v>
      </c>
      <c r="E17" s="21">
        <f>E16*(1+Assumptions!$C$34)</f>
        <v>2275875</v>
      </c>
      <c r="F17" s="21">
        <f t="shared" ref="F17:F35" si="3">E17*D17</f>
        <v>1420146</v>
      </c>
      <c r="G17" s="21">
        <f>IF(A17&lt;=Assumptions!$C$26,PV('Scenario Tables'!C$27/12,(Assumptions!$C$26-A17)*12,-$C$11),0)</f>
        <v>1002542.5749990495</v>
      </c>
      <c r="H17" s="21">
        <f t="shared" ref="H17:H35" si="4">F17-G17</f>
        <v>417603.42500095046</v>
      </c>
      <c r="I17" s="21">
        <f>IF(A17&lt;=Assumptions!$C$26,G16*'Scenario Tables'!C$27,0)</f>
        <v>26691.064653363806</v>
      </c>
      <c r="J17" s="21">
        <f>IF(A17&lt;=Assumptions!$C$26,$C$12-I17,0)</f>
        <v>23751.739000218608</v>
      </c>
      <c r="K17" s="21">
        <f>IF(Assumptions!$C$39="Investment",Assumptions!$C$35*12*(1+Assumptions!$C$36)^(A17-1)*(1-Assumptions!$C$40),Assumptions!$C$35*12*(1+Assumptions!$C$36)^(A17-1))</f>
        <v>55080</v>
      </c>
      <c r="L17" s="21">
        <f>IF(Assumptions!$C$39="Investment",_xlfn.LET(_xlpm.gr,Assumptions!$C$35*12*(1+Assumptions!$C$36)^(A17-1),Assumptions!$C$37*(1+Assumptions!$C$36)^(A17-1)+MIN(_xlpm.gr,30000)*0.12+MAX(0,MIN(_xlpm.gr,45000)-30000)*0.2+MAX(0,MIN(_xlpm.gr,60000)-45000)*0.28+MAX(0,_xlpm.gr-60000)*0.36+K17*Assumptions!$C$41),Assumptions!$C$37*(1+Assumptions!$C$36)^(A17-1)+MAX(0,MIN(K17,25000)-12000)*0.04+MAX(0,MIN(K17,38000)-25000)*0.06+MAX(0,MIN(K17,50000)-38000)*0.08+MAX(0,MIN(K17,65000)-50000)*0.1+MAX(0,MIN(K17,80000)-65000)*0.12+MAX(0,MIN(K17,95000)-80000)*0.14+MAX(0,MIN(K17,110000)-95000)*0.16+MAX(0,K17-110000)*0.23)</f>
        <v>3869.6</v>
      </c>
      <c r="M17" s="21">
        <f>IF(Assumptions!$C$39="Investment",(K17-I17-L17)*(1-Assumptions!$C$42),K17-I17-L17)</f>
        <v>24519.335346636195</v>
      </c>
      <c r="N17" s="21">
        <f t="shared" ref="N17:N35" si="5">IF(A17=1,M17,N16+M17)</f>
        <v>47479.335346636195</v>
      </c>
      <c r="O17" s="31">
        <f t="shared" ref="O17:O35" si="6">(H17-$C$10)/$C$10</f>
        <v>1.3108745756793938E-2</v>
      </c>
      <c r="P17" s="21">
        <f>Assumptions!$C$8*(1+Assumptions!$C$9)^A17-Assumptions!$C$8+$C$7*((1+Assumptions!$C$9)^A17-1)</f>
        <v>15187.499999999989</v>
      </c>
      <c r="Q17" s="21">
        <f t="shared" ref="Q17:Q35" si="7">H17-P17</f>
        <v>402415.92500095046</v>
      </c>
      <c r="R17" s="21">
        <f>N17/(1+Assumptions!$C$43)^A17</f>
        <v>45191.514904591269</v>
      </c>
      <c r="S17">
        <f>((H17/$C$10)^(1/A17))/(1+Assumptions!$C$43)-1</f>
        <v>-1.8016553540697644E-2</v>
      </c>
    </row>
    <row r="18" spans="1:19" x14ac:dyDescent="0.2">
      <c r="A18" s="30">
        <f t="shared" si="0"/>
        <v>3</v>
      </c>
      <c r="B18" s="30">
        <f t="shared" si="1"/>
        <v>35</v>
      </c>
      <c r="C18" s="30">
        <f t="shared" si="2"/>
        <v>54</v>
      </c>
      <c r="D18" s="31">
        <f>VLOOKUP(C18,'Bala Table'!$A:$B,2,FALSE)</f>
        <v>0.61599999999999999</v>
      </c>
      <c r="E18" s="21">
        <f>E17*(1+Assumptions!$C$34)</f>
        <v>2321392.5</v>
      </c>
      <c r="F18" s="21">
        <f t="shared" si="3"/>
        <v>1429977.78</v>
      </c>
      <c r="G18" s="21">
        <f>IF(A18&lt;=Assumptions!$C$26,PV('Scenario Tables'!C$27/12,(Assumptions!$C$26-A18)*12,-$C$11),0)</f>
        <v>977873.28108732507</v>
      </c>
      <c r="H18" s="21">
        <f t="shared" si="4"/>
        <v>452104.49891267496</v>
      </c>
      <c r="I18" s="21">
        <f>IF(A18&lt;=Assumptions!$C$26,G17*'Scenario Tables'!C$27,0)</f>
        <v>26066.106949975288</v>
      </c>
      <c r="J18" s="21">
        <f>IF(A18&lt;=Assumptions!$C$26,$C$12-I18,0)</f>
        <v>24376.696703607126</v>
      </c>
      <c r="K18" s="21">
        <f>IF(Assumptions!$C$39="Investment",Assumptions!$C$35*12*(1+Assumptions!$C$36)^(A18-1)*(1-Assumptions!$C$40),Assumptions!$C$35*12*(1+Assumptions!$C$36)^(A18-1))</f>
        <v>56181.599999999999</v>
      </c>
      <c r="L18" s="21">
        <f>IF(Assumptions!$C$39="Investment",_xlfn.LET(_xlpm.gr,Assumptions!$C$35*12*(1+Assumptions!$C$36)^(A18-1),Assumptions!$C$37*(1+Assumptions!$C$36)^(A18-1)+MIN(_xlpm.gr,30000)*0.12+MAX(0,MIN(_xlpm.gr,45000)-30000)*0.2+MAX(0,MIN(_xlpm.gr,60000)-45000)*0.28+MAX(0,_xlpm.gr-60000)*0.36+K18*Assumptions!$C$41),Assumptions!$C$37*(1+Assumptions!$C$36)^(A18-1)+MAX(0,MIN(K18,25000)-12000)*0.04+MAX(0,MIN(K18,38000)-25000)*0.06+MAX(0,MIN(K18,50000)-38000)*0.08+MAX(0,MIN(K18,65000)-50000)*0.1+MAX(0,MIN(K18,80000)-65000)*0.12+MAX(0,MIN(K18,95000)-80000)*0.14+MAX(0,MIN(K18,110000)-95000)*0.16+MAX(0,K18-110000)*0.23)</f>
        <v>4001.7919999999999</v>
      </c>
      <c r="M18" s="21">
        <f>IF(Assumptions!$C$39="Investment",(K18-I18-L18)*(1-Assumptions!$C$42),K18-I18-L18)</f>
        <v>26113.701050024709</v>
      </c>
      <c r="N18" s="21">
        <f t="shared" si="5"/>
        <v>73593.0363966609</v>
      </c>
      <c r="O18" s="31">
        <f t="shared" si="6"/>
        <v>9.6808585426188642E-2</v>
      </c>
      <c r="P18" s="21">
        <f>Assumptions!$C$8*(1+Assumptions!$C$9)^A18-Assumptions!$C$8+$C$7*((1+Assumptions!$C$9)^A18-1)</f>
        <v>23067.187499999953</v>
      </c>
      <c r="Q18" s="21">
        <f t="shared" si="7"/>
        <v>429037.31141267502</v>
      </c>
      <c r="R18" s="21">
        <f>N18/(1+Assumptions!$C$43)^A18</f>
        <v>68338.450245734944</v>
      </c>
      <c r="S18">
        <f>((H18/$C$10)^(1/A18))/(1+Assumptions!$C$43)-1</f>
        <v>6.1276440574946633E-3</v>
      </c>
    </row>
    <row r="19" spans="1:19" x14ac:dyDescent="0.2">
      <c r="A19" s="30">
        <f t="shared" si="0"/>
        <v>4</v>
      </c>
      <c r="B19" s="30">
        <f t="shared" si="1"/>
        <v>36</v>
      </c>
      <c r="C19" s="30">
        <f t="shared" si="2"/>
        <v>53</v>
      </c>
      <c r="D19" s="31">
        <f>VLOOKUP(C19,'Bala Table'!$A:$B,2,FALSE)</f>
        <v>0.60799999999999998</v>
      </c>
      <c r="E19" s="21">
        <f>E18*(1+Assumptions!$C$34)</f>
        <v>2367820.35</v>
      </c>
      <c r="F19" s="21">
        <f t="shared" si="3"/>
        <v>1439634.7727999999</v>
      </c>
      <c r="G19" s="21">
        <f>IF(A19&lt;=Assumptions!$C$26,PV('Scenario Tables'!C$27/12,(Assumptions!$C$26-A19)*12,-$C$11),0)</f>
        <v>952554.88669217331</v>
      </c>
      <c r="H19" s="21">
        <f>F19-G19</f>
        <v>487079.88610782661</v>
      </c>
      <c r="I19" s="21">
        <f>IF(A19&lt;=Assumptions!$C$26,G18*'Scenario Tables'!C$27,0)</f>
        <v>25424.705308270451</v>
      </c>
      <c r="J19" s="21">
        <f>IF(A19&lt;=Assumptions!$C$26,$C$12-I19,0)</f>
        <v>25018.098345311962</v>
      </c>
      <c r="K19" s="21">
        <f>IF(Assumptions!$C$39="Investment",Assumptions!$C$35*12*(1+Assumptions!$C$36)^(A19-1)*(1-Assumptions!$C$40),Assumptions!$C$35*12*(1+Assumptions!$C$36)^(A19-1))</f>
        <v>57305.231999999996</v>
      </c>
      <c r="L19" s="21">
        <f>IF(Assumptions!$C$39="Investment",_xlfn.LET(_xlpm.gr,Assumptions!$C$35*12*(1+Assumptions!$C$36)^(A19-1),Assumptions!$C$37*(1+Assumptions!$C$36)^(A19-1)+MIN(_xlpm.gr,30000)*0.12+MAX(0,MIN(_xlpm.gr,45000)-30000)*0.2+MAX(0,MIN(_xlpm.gr,60000)-45000)*0.28+MAX(0,_xlpm.gr-60000)*0.36+K19*Assumptions!$C$41),Assumptions!$C$37*(1+Assumptions!$C$36)^(A19-1)+MAX(0,MIN(K19,25000)-12000)*0.04+MAX(0,MIN(K19,38000)-25000)*0.06+MAX(0,MIN(K19,50000)-38000)*0.08+MAX(0,MIN(K19,65000)-50000)*0.1+MAX(0,MIN(K19,80000)-65000)*0.12+MAX(0,MIN(K19,95000)-80000)*0.14+MAX(0,MIN(K19,110000)-95000)*0.16+MAX(0,K19-110000)*0.23)</f>
        <v>4136.6278399999992</v>
      </c>
      <c r="M19" s="21">
        <f>IF(Assumptions!$C$39="Investment",(K19-I19-L19)*(1-Assumptions!$C$42),K19-I19-L19)</f>
        <v>27743.898851729544</v>
      </c>
      <c r="N19" s="21">
        <f t="shared" si="5"/>
        <v>101336.93524839045</v>
      </c>
      <c r="O19" s="31">
        <f t="shared" si="6"/>
        <v>0.18165911234310189</v>
      </c>
      <c r="P19" s="21">
        <f>Assumptions!$C$8*(1+Assumptions!$C$9)^A19-Assumptions!$C$8+$C$7*((1+Assumptions!$C$9)^A19-1)</f>
        <v>31143.867187499935</v>
      </c>
      <c r="Q19" s="21">
        <f t="shared" si="7"/>
        <v>455936.01892032666</v>
      </c>
      <c r="R19" s="21">
        <f>N19/(1+Assumptions!$C$43)^A19</f>
        <v>91806.261830310352</v>
      </c>
      <c r="S19">
        <f>((H19/$C$10)^(1/A19))/(1+Assumptions!$C$43)-1</f>
        <v>1.7183218813069834E-2</v>
      </c>
    </row>
    <row r="20" spans="1:19" x14ac:dyDescent="0.2">
      <c r="A20" s="30">
        <f t="shared" si="0"/>
        <v>5</v>
      </c>
      <c r="B20" s="30">
        <f t="shared" si="1"/>
        <v>37</v>
      </c>
      <c r="C20" s="30">
        <f t="shared" si="2"/>
        <v>52</v>
      </c>
      <c r="D20" s="31">
        <f>VLOOKUP(C20,'Bala Table'!$A:$B,2,FALSE)</f>
        <v>0.6</v>
      </c>
      <c r="E20" s="21">
        <f>E19*(1+Assumptions!$C$34)</f>
        <v>2415176.7570000002</v>
      </c>
      <c r="F20" s="21">
        <f t="shared" si="3"/>
        <v>1449106.0542000001</v>
      </c>
      <c r="G20" s="21">
        <f>IF(A20&lt;=Assumptions!$C$26,PV('Scenario Tables'!C$27/12,(Assumptions!$C$26-A20)*12,-$C$11),0)</f>
        <v>926570.31262847001</v>
      </c>
      <c r="H20" s="21">
        <f t="shared" si="4"/>
        <v>522535.74157153012</v>
      </c>
      <c r="I20" s="21">
        <f>IF(A20&lt;=Assumptions!$C$26,G19*'Scenario Tables'!C$27,0)</f>
        <v>24766.427053996504</v>
      </c>
      <c r="J20" s="21">
        <f>IF(A20&lt;=Assumptions!$C$26,$C$12-I20,0)</f>
        <v>25676.37659958591</v>
      </c>
      <c r="K20" s="21">
        <f>IF(Assumptions!$C$39="Investment",Assumptions!$C$35*12*(1+Assumptions!$C$36)^(A20-1)*(1-Assumptions!$C$40),Assumptions!$C$35*12*(1+Assumptions!$C$36)^(A20-1))</f>
        <v>58451.336640000001</v>
      </c>
      <c r="L20" s="21">
        <f>IF(Assumptions!$C$39="Investment",_xlfn.LET(_xlpm.gr,Assumptions!$C$35*12*(1+Assumptions!$C$36)^(A20-1),Assumptions!$C$37*(1+Assumptions!$C$36)^(A20-1)+MIN(_xlpm.gr,30000)*0.12+MAX(0,MIN(_xlpm.gr,45000)-30000)*0.2+MAX(0,MIN(_xlpm.gr,60000)-45000)*0.28+MAX(0,_xlpm.gr-60000)*0.36+K20*Assumptions!$C$41),Assumptions!$C$37*(1+Assumptions!$C$36)^(A20-1)+MAX(0,MIN(K20,25000)-12000)*0.04+MAX(0,MIN(K20,38000)-25000)*0.06+MAX(0,MIN(K20,50000)-38000)*0.08+MAX(0,MIN(K20,65000)-50000)*0.1+MAX(0,MIN(K20,80000)-65000)*0.12+MAX(0,MIN(K20,95000)-80000)*0.14+MAX(0,MIN(K20,110000)-95000)*0.16+MAX(0,K20-110000)*0.23)</f>
        <v>4274.1603967999999</v>
      </c>
      <c r="M20" s="21">
        <f>IF(Assumptions!$C$39="Investment",(K20-I20-L20)*(1-Assumptions!$C$42),K20-I20-L20)</f>
        <v>29410.749189203503</v>
      </c>
      <c r="N20" s="21">
        <f t="shared" si="5"/>
        <v>130747.68443759395</v>
      </c>
      <c r="O20" s="31">
        <f t="shared" si="6"/>
        <v>0.26767525854325597</v>
      </c>
      <c r="P20" s="21">
        <f>Assumptions!$C$8*(1+Assumptions!$C$9)^A20-Assumptions!$C$8+$C$7*((1+Assumptions!$C$9)^A20-1)</f>
        <v>39422.463867187391</v>
      </c>
      <c r="Q20" s="21">
        <f t="shared" si="7"/>
        <v>483113.27770434273</v>
      </c>
      <c r="R20" s="21">
        <f>N20/(1+Assumptions!$C$43)^A20</f>
        <v>115561.90148518355</v>
      </c>
      <c r="S20">
        <f>((H20/$C$10)^(1/A20))/(1+Assumptions!$C$43)-1</f>
        <v>2.3004955457839316E-2</v>
      </c>
    </row>
    <row r="21" spans="1:19" x14ac:dyDescent="0.2">
      <c r="A21" s="30">
        <f t="shared" si="0"/>
        <v>6</v>
      </c>
      <c r="B21" s="30">
        <f t="shared" si="1"/>
        <v>38</v>
      </c>
      <c r="C21" s="30">
        <f t="shared" si="2"/>
        <v>51</v>
      </c>
      <c r="D21" s="31">
        <f>VLOOKUP(C21,'Bala Table'!$A:$B,2,FALSE)</f>
        <v>0.59199999999999997</v>
      </c>
      <c r="E21" s="21">
        <f>E20*(1+Assumptions!$C$34)</f>
        <v>2463480.29214</v>
      </c>
      <c r="F21" s="21">
        <f t="shared" si="3"/>
        <v>1458380.33294688</v>
      </c>
      <c r="G21" s="21">
        <f>IF(A21&lt;=Assumptions!$C$26,PV('Scenario Tables'!C$27/12,(Assumptions!$C$26-A21)*12,-$C$11),0)</f>
        <v>899902.03032217361</v>
      </c>
      <c r="H21" s="21">
        <f t="shared" si="4"/>
        <v>558478.30262470641</v>
      </c>
      <c r="I21" s="21">
        <f>IF(A21&lt;=Assumptions!$C$26,G20*'Scenario Tables'!C$27,0)</f>
        <v>24090.828128340218</v>
      </c>
      <c r="J21" s="21">
        <f>IF(A21&lt;=Assumptions!$C$26,$C$12-I21,0)</f>
        <v>26351.975525242196</v>
      </c>
      <c r="K21" s="21">
        <f>IF(Assumptions!$C$39="Investment",Assumptions!$C$35*12*(1+Assumptions!$C$36)^(A21-1)*(1-Assumptions!$C$40),Assumptions!$C$35*12*(1+Assumptions!$C$36)^(A21-1))</f>
        <v>59620.363372799999</v>
      </c>
      <c r="L21" s="21">
        <f>IF(Assumptions!$C$39="Investment",_xlfn.LET(_xlpm.gr,Assumptions!$C$35*12*(1+Assumptions!$C$36)^(A21-1),Assumptions!$C$37*(1+Assumptions!$C$36)^(A21-1)+MIN(_xlpm.gr,30000)*0.12+MAX(0,MIN(_xlpm.gr,45000)-30000)*0.2+MAX(0,MIN(_xlpm.gr,60000)-45000)*0.28+MAX(0,_xlpm.gr-60000)*0.36+K21*Assumptions!$C$41),Assumptions!$C$37*(1+Assumptions!$C$36)^(A21-1)+MAX(0,MIN(K21,25000)-12000)*0.04+MAX(0,MIN(K21,38000)-25000)*0.06+MAX(0,MIN(K21,50000)-38000)*0.08+MAX(0,MIN(K21,65000)-50000)*0.1+MAX(0,MIN(K21,80000)-65000)*0.12+MAX(0,MIN(K21,95000)-80000)*0.14+MAX(0,MIN(K21,110000)-95000)*0.16+MAX(0,K21-110000)*0.23)</f>
        <v>4414.4436047360005</v>
      </c>
      <c r="M21" s="21">
        <f>IF(Assumptions!$C$39="Investment",(K21-I21-L21)*(1-Assumptions!$C$42),K21-I21-L21)</f>
        <v>31115.091639723782</v>
      </c>
      <c r="N21" s="21">
        <f t="shared" si="5"/>
        <v>161862.77607731774</v>
      </c>
      <c r="O21" s="31">
        <f t="shared" si="6"/>
        <v>0.35487215580957404</v>
      </c>
      <c r="P21" s="21">
        <f>Assumptions!$C$8*(1+Assumptions!$C$9)^A21-Assumptions!$C$8+$C$7*((1+Assumptions!$C$9)^A21-1)</f>
        <v>47908.025463867059</v>
      </c>
      <c r="Q21" s="21">
        <f t="shared" si="7"/>
        <v>510570.27716083935</v>
      </c>
      <c r="R21" s="21">
        <f>N21/(1+Assumptions!$C$43)^A21</f>
        <v>139573.76452713803</v>
      </c>
      <c r="S21">
        <f>((H21/$C$10)^(1/A21))/(1+Assumptions!$C$43)-1</f>
        <v>2.6264219420864432E-2</v>
      </c>
    </row>
    <row r="22" spans="1:19" x14ac:dyDescent="0.2">
      <c r="A22" s="30">
        <f t="shared" si="0"/>
        <v>7</v>
      </c>
      <c r="B22" s="30">
        <f t="shared" si="1"/>
        <v>39</v>
      </c>
      <c r="C22" s="30">
        <f t="shared" si="2"/>
        <v>50</v>
      </c>
      <c r="D22" s="31">
        <f>VLOOKUP(C22,'Bala Table'!$A:$B,2,FALSE)</f>
        <v>0.58399999999999996</v>
      </c>
      <c r="E22" s="21">
        <f>E21*(1+Assumptions!$C$34)</f>
        <v>2512749.8979827999</v>
      </c>
      <c r="F22" s="21">
        <f t="shared" si="3"/>
        <v>1467445.940421955</v>
      </c>
      <c r="G22" s="21">
        <f>IF(A22&lt;=Assumptions!$C$26,PV('Scenario Tables'!C$27/12,(Assumptions!$C$26-A22)*12,-$C$11),0)</f>
        <v>872532.04998596397</v>
      </c>
      <c r="H22" s="21">
        <f t="shared" si="4"/>
        <v>594913.89043599099</v>
      </c>
      <c r="I22" s="21">
        <f>IF(A22&lt;=Assumptions!$C$26,G21*'Scenario Tables'!C$27,0)</f>
        <v>23397.452788376511</v>
      </c>
      <c r="J22" s="21">
        <f>IF(A22&lt;=Assumptions!$C$26,$C$12-I22,0)</f>
        <v>27045.350865205903</v>
      </c>
      <c r="K22" s="21">
        <f>IF(Assumptions!$C$39="Investment",Assumptions!$C$35*12*(1+Assumptions!$C$36)^(A22-1)*(1-Assumptions!$C$40),Assumptions!$C$35*12*(1+Assumptions!$C$36)^(A22-1))</f>
        <v>60812.770640256007</v>
      </c>
      <c r="L22" s="21">
        <f>IF(Assumptions!$C$39="Investment",_xlfn.LET(_xlpm.gr,Assumptions!$C$35*12*(1+Assumptions!$C$36)^(A22-1),Assumptions!$C$37*(1+Assumptions!$C$36)^(A22-1)+MIN(_xlpm.gr,30000)*0.12+MAX(0,MIN(_xlpm.gr,45000)-30000)*0.2+MAX(0,MIN(_xlpm.gr,60000)-45000)*0.28+MAX(0,_xlpm.gr-60000)*0.36+K22*Assumptions!$C$41),Assumptions!$C$37*(1+Assumptions!$C$36)^(A22-1)+MAX(0,MIN(K22,25000)-12000)*0.04+MAX(0,MIN(K22,38000)-25000)*0.06+MAX(0,MIN(K22,50000)-38000)*0.08+MAX(0,MIN(K22,65000)-50000)*0.1+MAX(0,MIN(K22,80000)-65000)*0.12+MAX(0,MIN(K22,95000)-80000)*0.14+MAX(0,MIN(K22,110000)-95000)*0.16+MAX(0,K22-110000)*0.23)</f>
        <v>4557.532476830721</v>
      </c>
      <c r="M22" s="21">
        <f>IF(Assumptions!$C$39="Investment",(K22-I22-L22)*(1-Assumptions!$C$42),K22-I22-L22)</f>
        <v>32857.785375048777</v>
      </c>
      <c r="N22" s="21">
        <f t="shared" si="5"/>
        <v>194720.56145236653</v>
      </c>
      <c r="O22" s="31">
        <f t="shared" si="6"/>
        <v>0.44326513934010431</v>
      </c>
      <c r="P22" s="21">
        <f>Assumptions!$C$8*(1+Assumptions!$C$9)^A22-Assumptions!$C$8+$C$7*((1+Assumptions!$C$9)^A22-1)</f>
        <v>56605.726100463755</v>
      </c>
      <c r="Q22" s="21">
        <f t="shared" si="7"/>
        <v>538308.16433552722</v>
      </c>
      <c r="R22" s="21">
        <f>N22/(1+Assumptions!$C$43)^A22</f>
        <v>163811.63890580047</v>
      </c>
      <c r="S22">
        <f>((H22/$C$10)^(1/A22))/(1+Assumptions!$C$43)-1</f>
        <v>2.8110669759614959E-2</v>
      </c>
    </row>
    <row r="23" spans="1:19" x14ac:dyDescent="0.2">
      <c r="A23" s="30">
        <f t="shared" si="0"/>
        <v>8</v>
      </c>
      <c r="B23" s="30">
        <f t="shared" si="1"/>
        <v>40</v>
      </c>
      <c r="C23" s="30">
        <f t="shared" si="2"/>
        <v>49</v>
      </c>
      <c r="D23" s="31">
        <f>VLOOKUP(C23,'Bala Table'!$A:$B,2,FALSE)</f>
        <v>0.57499999999999996</v>
      </c>
      <c r="E23" s="21">
        <f>E22*(1+Assumptions!$C$34)</f>
        <v>2563004.8959424561</v>
      </c>
      <c r="F23" s="21">
        <f t="shared" si="3"/>
        <v>1473727.815166912</v>
      </c>
      <c r="G23" s="21">
        <f>IF(A23&lt;=Assumptions!$C$26,PV('Scenario Tables'!C$27/12,(Assumptions!$C$26-A23)*12,-$C$11),0)</f>
        <v>844441.90848376357</v>
      </c>
      <c r="H23" s="21">
        <f t="shared" si="4"/>
        <v>629285.90668314847</v>
      </c>
      <c r="I23" s="21">
        <f>IF(A23&lt;=Assumptions!$C$26,G22*'Scenario Tables'!C$27,0)</f>
        <v>22685.833299635062</v>
      </c>
      <c r="J23" s="21">
        <f>IF(A23&lt;=Assumptions!$C$26,$C$12-I23,0)</f>
        <v>27756.970353947352</v>
      </c>
      <c r="K23" s="21">
        <f>IF(Assumptions!$C$39="Investment",Assumptions!$C$35*12*(1+Assumptions!$C$36)^(A23-1)*(1-Assumptions!$C$40),Assumptions!$C$35*12*(1+Assumptions!$C$36)^(A23-1))</f>
        <v>62029.026053061112</v>
      </c>
      <c r="L23" s="21">
        <f>IF(Assumptions!$C$39="Investment",_xlfn.LET(_xlpm.gr,Assumptions!$C$35*12*(1+Assumptions!$C$36)^(A23-1),Assumptions!$C$37*(1+Assumptions!$C$36)^(A23-1)+MIN(_xlpm.gr,30000)*0.12+MAX(0,MIN(_xlpm.gr,45000)-30000)*0.2+MAX(0,MIN(_xlpm.gr,60000)-45000)*0.28+MAX(0,_xlpm.gr-60000)*0.36+K23*Assumptions!$C$41),Assumptions!$C$37*(1+Assumptions!$C$36)^(A23-1)+MAX(0,MIN(K23,25000)-12000)*0.04+MAX(0,MIN(K23,38000)-25000)*0.06+MAX(0,MIN(K23,50000)-38000)*0.08+MAX(0,MIN(K23,65000)-50000)*0.1+MAX(0,MIN(K23,80000)-65000)*0.12+MAX(0,MIN(K23,95000)-80000)*0.14+MAX(0,MIN(K23,110000)-95000)*0.16+MAX(0,K23-110000)*0.23)</f>
        <v>4703.4831263673341</v>
      </c>
      <c r="M23" s="21">
        <f>IF(Assumptions!$C$39="Investment",(K23-I23-L23)*(1-Assumptions!$C$42),K23-I23-L23)</f>
        <v>34639.709627058714</v>
      </c>
      <c r="N23" s="21">
        <f t="shared" si="5"/>
        <v>229360.27107942523</v>
      </c>
      <c r="O23" s="31">
        <f t="shared" si="6"/>
        <v>0.5266518842385941</v>
      </c>
      <c r="P23" s="21">
        <f>Assumptions!$C$8*(1+Assumptions!$C$9)^A23-Assumptions!$C$8+$C$7*((1+Assumptions!$C$9)^A23-1)</f>
        <v>65520.869252975317</v>
      </c>
      <c r="Q23" s="21">
        <f t="shared" si="7"/>
        <v>563765.03743017314</v>
      </c>
      <c r="R23" s="21">
        <f>N23/(1+Assumptions!$C$43)^A23</f>
        <v>188246.65596919943</v>
      </c>
      <c r="S23">
        <f>((H23/$C$10)^(1/A23))/(1+Assumptions!$C$43)-1</f>
        <v>2.859317153370533E-2</v>
      </c>
    </row>
    <row r="24" spans="1:19" x14ac:dyDescent="0.2">
      <c r="A24" s="30">
        <f t="shared" si="0"/>
        <v>9</v>
      </c>
      <c r="B24" s="30">
        <f t="shared" si="1"/>
        <v>41</v>
      </c>
      <c r="C24" s="30">
        <f t="shared" si="2"/>
        <v>48</v>
      </c>
      <c r="D24" s="31">
        <f>VLOOKUP(C24,'Bala Table'!$A:$B,2,FALSE)</f>
        <v>0.56599999999999995</v>
      </c>
      <c r="E24" s="21">
        <f>E23*(1+Assumptions!$C$34)</f>
        <v>2614264.9938613051</v>
      </c>
      <c r="F24" s="21">
        <f t="shared" si="3"/>
        <v>1479673.9865254986</v>
      </c>
      <c r="G24" s="21">
        <f>IF(A24&lt;=Assumptions!$C$26,PV('Scenario Tables'!C$27/12,(Assumptions!$C$26-A24)*12,-$C$11),0)</f>
        <v>815612.65687594458</v>
      </c>
      <c r="H24" s="21">
        <f t="shared" si="4"/>
        <v>664061.32964955398</v>
      </c>
      <c r="I24" s="21">
        <f>IF(A24&lt;=Assumptions!$C$26,G23*'Scenario Tables'!C$27,0)</f>
        <v>21955.489620577853</v>
      </c>
      <c r="J24" s="21">
        <f>IF(A24&lt;=Assumptions!$C$26,$C$12-I24,0)</f>
        <v>28487.314033004561</v>
      </c>
      <c r="K24" s="21">
        <f>IF(Assumptions!$C$39="Investment",Assumptions!$C$35*12*(1+Assumptions!$C$36)^(A24-1)*(1-Assumptions!$C$40),Assumptions!$C$35*12*(1+Assumptions!$C$36)^(A24-1))</f>
        <v>63269.606574122336</v>
      </c>
      <c r="L24" s="21">
        <f>IF(Assumptions!$C$39="Investment",_xlfn.LET(_xlpm.gr,Assumptions!$C$35*12*(1+Assumptions!$C$36)^(A24-1),Assumptions!$C$37*(1+Assumptions!$C$36)^(A24-1)+MIN(_xlpm.gr,30000)*0.12+MAX(0,MIN(_xlpm.gr,45000)-30000)*0.2+MAX(0,MIN(_xlpm.gr,60000)-45000)*0.28+MAX(0,_xlpm.gr-60000)*0.36+K24*Assumptions!$C$41),Assumptions!$C$37*(1+Assumptions!$C$36)^(A24-1)+MAX(0,MIN(K24,25000)-12000)*0.04+MAX(0,MIN(K24,38000)-25000)*0.06+MAX(0,MIN(K24,50000)-38000)*0.08+MAX(0,MIN(K24,65000)-50000)*0.1+MAX(0,MIN(K24,80000)-65000)*0.12+MAX(0,MIN(K24,95000)-80000)*0.14+MAX(0,MIN(K24,110000)-95000)*0.16+MAX(0,K24-110000)*0.23)</f>
        <v>4852.3527888946801</v>
      </c>
      <c r="M24" s="21">
        <f>IF(Assumptions!$C$39="Investment",(K24-I24-L24)*(1-Assumptions!$C$42),K24-I24-L24)</f>
        <v>36461.764164649801</v>
      </c>
      <c r="N24" s="21">
        <f t="shared" si="5"/>
        <v>265822.03524407506</v>
      </c>
      <c r="O24" s="31">
        <f t="shared" si="6"/>
        <v>0.61101729657824844</v>
      </c>
      <c r="P24" s="21">
        <f>Assumptions!$C$8*(1+Assumptions!$C$9)^A24-Assumptions!$C$8+$C$7*((1+Assumptions!$C$9)^A24-1)</f>
        <v>74658.890984299651</v>
      </c>
      <c r="Q24" s="21">
        <f t="shared" si="7"/>
        <v>589402.43866525427</v>
      </c>
      <c r="R24" s="21">
        <f>N24/(1+Assumptions!$C$43)^A24</f>
        <v>212851.24280305512</v>
      </c>
      <c r="S24">
        <f>((H24/$C$10)^(1/A24))/(1+Assumptions!$C$43)-1</f>
        <v>2.8696514424875863E-2</v>
      </c>
    </row>
    <row r="25" spans="1:19" x14ac:dyDescent="0.2">
      <c r="A25" s="30">
        <f t="shared" si="0"/>
        <v>10</v>
      </c>
      <c r="B25" s="30">
        <f t="shared" si="1"/>
        <v>42</v>
      </c>
      <c r="C25" s="30">
        <f t="shared" si="2"/>
        <v>47</v>
      </c>
      <c r="D25" s="31">
        <f>VLOOKUP(C25,'Bala Table'!$A:$B,2,FALSE)</f>
        <v>0.55700000000000005</v>
      </c>
      <c r="E25" s="21">
        <f>E24*(1+Assumptions!$C$34)</f>
        <v>2666550.2937385314</v>
      </c>
      <c r="F25" s="21">
        <f t="shared" si="3"/>
        <v>1485268.5136123621</v>
      </c>
      <c r="G25" s="21">
        <f>IF(A25&lt;=Assumptions!$C$26,PV('Scenario Tables'!C$27/12,(Assumptions!$C$26-A25)*12,-$C$11),0)</f>
        <v>786024.8476368275</v>
      </c>
      <c r="H25" s="21">
        <f t="shared" si="4"/>
        <v>699243.66597553459</v>
      </c>
      <c r="I25" s="21">
        <f>IF(A25&lt;=Assumptions!$C$26,G24*'Scenario Tables'!C$27,0)</f>
        <v>21205.929078774559</v>
      </c>
      <c r="J25" s="21">
        <f>IF(A25&lt;=Assumptions!$C$26,$C$12-I25,0)</f>
        <v>29236.874574807855</v>
      </c>
      <c r="K25" s="21">
        <f>IF(Assumptions!$C$39="Investment",Assumptions!$C$35*12*(1+Assumptions!$C$36)^(A25-1)*(1-Assumptions!$C$40),Assumptions!$C$35*12*(1+Assumptions!$C$36)^(A25-1))</f>
        <v>64534.998705604783</v>
      </c>
      <c r="L25" s="21">
        <f>IF(Assumptions!$C$39="Investment",_xlfn.LET(_xlpm.gr,Assumptions!$C$35*12*(1+Assumptions!$C$36)^(A25-1),Assumptions!$C$37*(1+Assumptions!$C$36)^(A25-1)+MIN(_xlpm.gr,30000)*0.12+MAX(0,MIN(_xlpm.gr,45000)-30000)*0.2+MAX(0,MIN(_xlpm.gr,60000)-45000)*0.28+MAX(0,_xlpm.gr-60000)*0.36+K25*Assumptions!$C$41),Assumptions!$C$37*(1+Assumptions!$C$36)^(A25-1)+MAX(0,MIN(K25,25000)-12000)*0.04+MAX(0,MIN(K25,38000)-25000)*0.06+MAX(0,MIN(K25,50000)-38000)*0.08+MAX(0,MIN(K25,65000)-50000)*0.1+MAX(0,MIN(K25,80000)-65000)*0.12+MAX(0,MIN(K25,95000)-80000)*0.14+MAX(0,MIN(K25,110000)-95000)*0.16+MAX(0,K25-110000)*0.23)</f>
        <v>5004.1998446725738</v>
      </c>
      <c r="M25" s="21">
        <f>IF(Assumptions!$C$39="Investment",(K25-I25-L25)*(1-Assumptions!$C$42),K25-I25-L25)</f>
        <v>38324.86978215765</v>
      </c>
      <c r="N25" s="21">
        <f t="shared" si="5"/>
        <v>304146.90502623271</v>
      </c>
      <c r="O25" s="31">
        <f t="shared" si="6"/>
        <v>0.69636988349232065</v>
      </c>
      <c r="P25" s="21">
        <f>Assumptions!$C$8*(1+Assumptions!$C$9)^A25-Assumptions!$C$8+$C$7*((1+Assumptions!$C$9)^A25-1)</f>
        <v>84025.363258907106</v>
      </c>
      <c r="Q25" s="21">
        <f t="shared" si="7"/>
        <v>615218.30271662748</v>
      </c>
      <c r="R25" s="21">
        <f>N25/(1+Assumptions!$C$43)^A25</f>
        <v>237599.07609631951</v>
      </c>
      <c r="S25">
        <f>((H25/$C$10)^(1/A25))/(1+Assumptions!$C$43)-1</f>
        <v>2.8556587390736743E-2</v>
      </c>
    </row>
    <row r="26" spans="1:19" x14ac:dyDescent="0.2">
      <c r="A26" s="30">
        <f t="shared" si="0"/>
        <v>11</v>
      </c>
      <c r="B26" s="30">
        <f t="shared" si="1"/>
        <v>43</v>
      </c>
      <c r="C26" s="30">
        <f t="shared" si="2"/>
        <v>46</v>
      </c>
      <c r="D26" s="31">
        <f>VLOOKUP(C26,'Bala Table'!$A:$B,2,FALSE)</f>
        <v>0.54800000000000004</v>
      </c>
      <c r="E26" s="21">
        <f>E25*(1+Assumptions!$C$34)</f>
        <v>2719881.2996133021</v>
      </c>
      <c r="F26" s="21">
        <f t="shared" si="3"/>
        <v>1490494.9521880897</v>
      </c>
      <c r="G26" s="21">
        <f>IF(A26&lt;=Assumptions!$C$26,PV('Scenario Tables'!C$27/12,(Assumptions!$C$26-A26)*12,-$C$11),0)</f>
        <v>755658.52153584082</v>
      </c>
      <c r="H26" s="21">
        <f t="shared" si="4"/>
        <v>734836.43065224891</v>
      </c>
      <c r="I26" s="21">
        <f>IF(A26&lt;=Assumptions!$C$26,G25*'Scenario Tables'!C$27,0)</f>
        <v>20436.646038557516</v>
      </c>
      <c r="J26" s="21">
        <f>IF(A26&lt;=Assumptions!$C$26,$C$12-I26,0)</f>
        <v>30006.157615024898</v>
      </c>
      <c r="K26" s="21">
        <f>IF(Assumptions!$C$39="Investment",Assumptions!$C$35*12*(1+Assumptions!$C$36)^(A26-1)*(1-Assumptions!$C$40),Assumptions!$C$35*12*(1+Assumptions!$C$36)^(A26-1))</f>
        <v>65825.698679716879</v>
      </c>
      <c r="L26" s="21">
        <f>IF(Assumptions!$C$39="Investment",_xlfn.LET(_xlpm.gr,Assumptions!$C$35*12*(1+Assumptions!$C$36)^(A26-1),Assumptions!$C$37*(1+Assumptions!$C$36)^(A26-1)+MIN(_xlpm.gr,30000)*0.12+MAX(0,MIN(_xlpm.gr,45000)-30000)*0.2+MAX(0,MIN(_xlpm.gr,60000)-45000)*0.28+MAX(0,_xlpm.gr-60000)*0.36+K26*Assumptions!$C$41),Assumptions!$C$37*(1+Assumptions!$C$36)^(A26-1)+MAX(0,MIN(K26,25000)-12000)*0.04+MAX(0,MIN(K26,38000)-25000)*0.06+MAX(0,MIN(K26,50000)-38000)*0.08+MAX(0,MIN(K26,65000)-50000)*0.1+MAX(0,MIN(K26,80000)-65000)*0.12+MAX(0,MIN(K26,95000)-80000)*0.14+MAX(0,MIN(K26,110000)-95000)*0.16+MAX(0,K26-110000)*0.23)</f>
        <v>5175.5978151603631</v>
      </c>
      <c r="M26" s="21">
        <f>IF(Assumptions!$C$39="Investment",(K26-I26-L26)*(1-Assumptions!$C$42),K26-I26-L26)</f>
        <v>40213.454825998997</v>
      </c>
      <c r="N26" s="21">
        <f t="shared" si="5"/>
        <v>344360.35985223169</v>
      </c>
      <c r="O26" s="31">
        <f t="shared" si="6"/>
        <v>0.78271817237323849</v>
      </c>
      <c r="P26" s="21">
        <f>Assumptions!$C$8*(1+Assumptions!$C$9)^A26-Assumptions!$C$8+$C$7*((1+Assumptions!$C$9)^A26-1)</f>
        <v>93625.997340379807</v>
      </c>
      <c r="Q26" s="21">
        <f t="shared" si="7"/>
        <v>641210.43331186916</v>
      </c>
      <c r="R26" s="21">
        <f>N26/(1+Assumptions!$C$43)^A26</f>
        <v>262452.45144805819</v>
      </c>
      <c r="S26">
        <f>((H26/$C$10)^(1/A26))/(1+Assumptions!$C$43)-1</f>
        <v>2.8257376762378605E-2</v>
      </c>
    </row>
    <row r="27" spans="1:19" x14ac:dyDescent="0.2">
      <c r="A27" s="30">
        <f t="shared" si="0"/>
        <v>12</v>
      </c>
      <c r="B27" s="30">
        <f t="shared" si="1"/>
        <v>44</v>
      </c>
      <c r="C27" s="30">
        <f t="shared" si="2"/>
        <v>45</v>
      </c>
      <c r="D27" s="31">
        <f>VLOOKUP(C27,'Bala Table'!$A:$B,2,FALSE)</f>
        <v>0.53900000000000003</v>
      </c>
      <c r="E27" s="21">
        <f>E26*(1+Assumptions!$C$34)</f>
        <v>2774278.9256055681</v>
      </c>
      <c r="F27" s="21">
        <f t="shared" si="3"/>
        <v>1495336.3409014014</v>
      </c>
      <c r="G27" s="21">
        <f>IF(A27&lt;=Assumptions!$C$26,PV('Scenario Tables'!C$27/12,(Assumptions!$C$26-A27)*12,-$C$11),0)</f>
        <v>724493.19417350518</v>
      </c>
      <c r="H27" s="21">
        <f t="shared" si="4"/>
        <v>770843.14672789618</v>
      </c>
      <c r="I27" s="21">
        <f>IF(A27&lt;=Assumptions!$C$26,G26*'Scenario Tables'!C$27,0)</f>
        <v>19647.12155993186</v>
      </c>
      <c r="J27" s="21">
        <f>IF(A27&lt;=Assumptions!$C$26,$C$12-I27,0)</f>
        <v>30795.682093650554</v>
      </c>
      <c r="K27" s="21">
        <f>IF(Assumptions!$C$39="Investment",Assumptions!$C$35*12*(1+Assumptions!$C$36)^(A27-1)*(1-Assumptions!$C$40),Assumptions!$C$35*12*(1+Assumptions!$C$36)^(A27-1))</f>
        <v>67142.212653311202</v>
      </c>
      <c r="L27" s="21">
        <f>IF(Assumptions!$C$39="Investment",_xlfn.LET(_xlpm.gr,Assumptions!$C$35*12*(1+Assumptions!$C$36)^(A27-1),Assumptions!$C$37*(1+Assumptions!$C$36)^(A27-1)+MIN(_xlpm.gr,30000)*0.12+MAX(0,MIN(_xlpm.gr,45000)-30000)*0.2+MAX(0,MIN(_xlpm.gr,60000)-45000)*0.28+MAX(0,_xlpm.gr-60000)*0.36+K27*Assumptions!$C$41),Assumptions!$C$37*(1+Assumptions!$C$36)^(A27-1)+MAX(0,MIN(K27,25000)-12000)*0.04+MAX(0,MIN(K27,38000)-25000)*0.06+MAX(0,MIN(K27,50000)-38000)*0.08+MAX(0,MIN(K27,65000)-50000)*0.1+MAX(0,MIN(K27,80000)-65000)*0.12+MAX(0,MIN(K27,95000)-80000)*0.14+MAX(0,MIN(K27,110000)-95000)*0.16+MAX(0,K27-110000)*0.23)</f>
        <v>5359.9097714635682</v>
      </c>
      <c r="M27" s="21">
        <f>IF(Assumptions!$C$39="Investment",(K27-I27-L27)*(1-Assumptions!$C$42),K27-I27-L27)</f>
        <v>42135.181321915778</v>
      </c>
      <c r="N27" s="21">
        <f t="shared" si="5"/>
        <v>386495.54117414745</v>
      </c>
      <c r="O27" s="31">
        <f t="shared" si="6"/>
        <v>0.87007071015986459</v>
      </c>
      <c r="P27" s="21">
        <f>Assumptions!$C$8*(1+Assumptions!$C$9)^A27-Assumptions!$C$8+$C$7*((1+Assumptions!$C$9)^A27-1)</f>
        <v>103466.64727388928</v>
      </c>
      <c r="Q27" s="21">
        <f t="shared" si="7"/>
        <v>667376.4994540069</v>
      </c>
      <c r="R27" s="21">
        <f>N27/(1+Assumptions!$C$43)^A27</f>
        <v>287381.03418380866</v>
      </c>
      <c r="S27">
        <f>((H27/$C$10)^(1/A27))/(1+Assumptions!$C$43)-1</f>
        <v>2.7852911227560284E-2</v>
      </c>
    </row>
    <row r="28" spans="1:19" x14ac:dyDescent="0.2">
      <c r="A28" s="30">
        <f t="shared" si="0"/>
        <v>13</v>
      </c>
      <c r="B28" s="30">
        <f t="shared" si="1"/>
        <v>45</v>
      </c>
      <c r="C28" s="30">
        <f t="shared" si="2"/>
        <v>44</v>
      </c>
      <c r="D28" s="31">
        <f>VLOOKUP(C28,'Bala Table'!$A:$B,2,FALSE)</f>
        <v>0.53</v>
      </c>
      <c r="E28" s="21">
        <f>E27*(1+Assumptions!$C$34)</f>
        <v>2829764.5041176793</v>
      </c>
      <c r="F28" s="21">
        <f t="shared" si="3"/>
        <v>1499775.1871823701</v>
      </c>
      <c r="G28" s="21">
        <f>IF(A28&lt;=Assumptions!$C$26,PV('Scenario Tables'!C$27/12,(Assumptions!$C$26-A28)*12,-$C$11),0)</f>
        <v>692507.84216314054</v>
      </c>
      <c r="H28" s="21">
        <f t="shared" si="4"/>
        <v>807267.34501922957</v>
      </c>
      <c r="I28" s="21">
        <f>IF(A28&lt;=Assumptions!$C$26,G27*'Scenario Tables'!C$27,0)</f>
        <v>18836.823048511134</v>
      </c>
      <c r="J28" s="21">
        <f>IF(A28&lt;=Assumptions!$C$26,$C$12-I28,0)</f>
        <v>31605.98060507128</v>
      </c>
      <c r="K28" s="21">
        <f>IF(Assumptions!$C$39="Investment",Assumptions!$C$35*12*(1+Assumptions!$C$36)^(A28-1)*(1-Assumptions!$C$40),Assumptions!$C$35*12*(1+Assumptions!$C$36)^(A28-1))</f>
        <v>68485.056906377446</v>
      </c>
      <c r="L28" s="21">
        <f>IF(Assumptions!$C$39="Investment",_xlfn.LET(_xlpm.gr,Assumptions!$C$35*12*(1+Assumptions!$C$36)^(A28-1),Assumptions!$C$37*(1+Assumptions!$C$36)^(A28-1)+MIN(_xlpm.gr,30000)*0.12+MAX(0,MIN(_xlpm.gr,45000)-30000)*0.2+MAX(0,MIN(_xlpm.gr,60000)-45000)*0.28+MAX(0,_xlpm.gr-60000)*0.36+K28*Assumptions!$C$41),Assumptions!$C$37*(1+Assumptions!$C$36)^(A28-1)+MAX(0,MIN(K28,25000)-12000)*0.04+MAX(0,MIN(K28,38000)-25000)*0.06+MAX(0,MIN(K28,50000)-38000)*0.08+MAX(0,MIN(K28,65000)-50000)*0.1+MAX(0,MIN(K28,80000)-65000)*0.12+MAX(0,MIN(K28,95000)-80000)*0.14+MAX(0,MIN(K28,110000)-95000)*0.16+MAX(0,K28-110000)*0.23)</f>
        <v>5547.9079668928425</v>
      </c>
      <c r="M28" s="21">
        <f>IF(Assumptions!$C$39="Investment",(K28-I28-L28)*(1-Assumptions!$C$42),K28-I28-L28)</f>
        <v>44100.325890973472</v>
      </c>
      <c r="N28" s="21">
        <f t="shared" si="5"/>
        <v>430595.86706512095</v>
      </c>
      <c r="O28" s="31">
        <f t="shared" si="6"/>
        <v>0.95843606263762637</v>
      </c>
      <c r="P28" s="21">
        <f>Assumptions!$C$8*(1+Assumptions!$C$9)^A28-Assumptions!$C$8+$C$7*((1+Assumptions!$C$9)^A28-1)</f>
        <v>113553.31345573648</v>
      </c>
      <c r="Q28" s="21">
        <f t="shared" si="7"/>
        <v>693714.03156349307</v>
      </c>
      <c r="R28" s="21">
        <f>N28/(1+Assumptions!$C$43)^A28</f>
        <v>312363.01564142242</v>
      </c>
      <c r="S28">
        <f>((H28/$C$10)^(1/A28))/(1+Assumptions!$C$43)-1</f>
        <v>2.7379045692462745E-2</v>
      </c>
    </row>
    <row r="29" spans="1:19" x14ac:dyDescent="0.2">
      <c r="A29" s="30">
        <f t="shared" si="0"/>
        <v>14</v>
      </c>
      <c r="B29" s="30">
        <f t="shared" si="1"/>
        <v>46</v>
      </c>
      <c r="C29" s="30">
        <f t="shared" si="2"/>
        <v>43</v>
      </c>
      <c r="D29" s="31">
        <f>VLOOKUP(C29,'Bala Table'!$A:$B,2,FALSE)</f>
        <v>0.52100000000000002</v>
      </c>
      <c r="E29" s="21">
        <f>E28*(1+Assumptions!$C$34)</f>
        <v>2886359.7942000329</v>
      </c>
      <c r="F29" s="21">
        <f t="shared" si="3"/>
        <v>1503793.4527782171</v>
      </c>
      <c r="G29" s="21">
        <f>IF(A29&lt;=Assumptions!$C$26,PV('Scenario Tables'!C$27/12,(Assumptions!$C$26-A29)*12,-$C$11),0)</f>
        <v>659680.8889489955</v>
      </c>
      <c r="H29" s="21">
        <f t="shared" si="4"/>
        <v>844112.56382922165</v>
      </c>
      <c r="I29" s="21">
        <f>IF(A29&lt;=Assumptions!$C$26,G28*'Scenario Tables'!C$27,0)</f>
        <v>18005.203896241652</v>
      </c>
      <c r="J29" s="21">
        <f>IF(A29&lt;=Assumptions!$C$26,$C$12-I29,0)</f>
        <v>32437.599757340762</v>
      </c>
      <c r="K29" s="21">
        <f>IF(Assumptions!$C$39="Investment",Assumptions!$C$35*12*(1+Assumptions!$C$36)^(A29-1)*(1-Assumptions!$C$40),Assumptions!$C$35*12*(1+Assumptions!$C$36)^(A29-1))</f>
        <v>69854.758044504983</v>
      </c>
      <c r="L29" s="21">
        <f>IF(Assumptions!$C$39="Investment",_xlfn.LET(_xlpm.gr,Assumptions!$C$35*12*(1+Assumptions!$C$36)^(A29-1),Assumptions!$C$37*(1+Assumptions!$C$36)^(A29-1)+MIN(_xlpm.gr,30000)*0.12+MAX(0,MIN(_xlpm.gr,45000)-30000)*0.2+MAX(0,MIN(_xlpm.gr,60000)-45000)*0.28+MAX(0,_xlpm.gr-60000)*0.36+K29*Assumptions!$C$41),Assumptions!$C$37*(1+Assumptions!$C$36)^(A29-1)+MAX(0,MIN(K29,25000)-12000)*0.04+MAX(0,MIN(K29,38000)-25000)*0.06+MAX(0,MIN(K29,50000)-38000)*0.08+MAX(0,MIN(K29,65000)-50000)*0.1+MAX(0,MIN(K29,80000)-65000)*0.12+MAX(0,MIN(K29,95000)-80000)*0.14+MAX(0,MIN(K29,110000)-95000)*0.16+MAX(0,K29-110000)*0.23)</f>
        <v>5739.666126230697</v>
      </c>
      <c r="M29" s="21">
        <f>IF(Assumptions!$C$39="Investment",(K29-I29-L29)*(1-Assumptions!$C$42),K29-I29-L29)</f>
        <v>46109.888022032632</v>
      </c>
      <c r="N29" s="21">
        <f t="shared" si="5"/>
        <v>476705.75508715358</v>
      </c>
      <c r="O29" s="31">
        <f t="shared" si="6"/>
        <v>1.0478228137535701</v>
      </c>
      <c r="P29" s="21">
        <f>Assumptions!$C$8*(1+Assumptions!$C$9)^A29-Assumptions!$C$8+$C$7*((1+Assumptions!$C$9)^A29-1)</f>
        <v>123892.14629212982</v>
      </c>
      <c r="Q29" s="21">
        <f t="shared" si="7"/>
        <v>720220.41753709177</v>
      </c>
      <c r="R29" s="21">
        <f>N29/(1+Assumptions!$C$43)^A29</f>
        <v>337377.62725046574</v>
      </c>
      <c r="S29">
        <f>((H29/$C$10)^(1/A29))/(1+Assumptions!$C$43)-1</f>
        <v>2.6860159791580518E-2</v>
      </c>
    </row>
    <row r="30" spans="1:19" x14ac:dyDescent="0.2">
      <c r="A30" s="30">
        <f t="shared" si="0"/>
        <v>15</v>
      </c>
      <c r="B30" s="30">
        <f t="shared" si="1"/>
        <v>47</v>
      </c>
      <c r="C30" s="30">
        <f t="shared" si="2"/>
        <v>42</v>
      </c>
      <c r="D30" s="31">
        <f>VLOOKUP(C30,'Bala Table'!$A:$B,2,FALSE)</f>
        <v>0.51200000000000001</v>
      </c>
      <c r="E30" s="21">
        <f>E29*(1+Assumptions!$C$34)</f>
        <v>2944086.9900840335</v>
      </c>
      <c r="F30" s="21">
        <f t="shared" si="3"/>
        <v>1507372.5389230251</v>
      </c>
      <c r="G30" s="21">
        <f>IF(A30&lt;=Assumptions!$C$26,PV('Scenario Tables'!C$27/12,(Assumptions!$C$26-A30)*12,-$C$11),0)</f>
        <v>625990.19025121385</v>
      </c>
      <c r="H30" s="21">
        <f t="shared" si="4"/>
        <v>881382.34867181128</v>
      </c>
      <c r="I30" s="21">
        <f>IF(A30&lt;=Assumptions!$C$26,G29*'Scenario Tables'!C$27,0)</f>
        <v>17151.703112673884</v>
      </c>
      <c r="J30" s="21">
        <f>IF(A30&lt;=Assumptions!$C$26,$C$12-I30,0)</f>
        <v>33291.100540908534</v>
      </c>
      <c r="K30" s="21">
        <f>IF(Assumptions!$C$39="Investment",Assumptions!$C$35*12*(1+Assumptions!$C$36)^(A30-1)*(1-Assumptions!$C$40),Assumptions!$C$35*12*(1+Assumptions!$C$36)^(A30-1))</f>
        <v>71251.853205395091</v>
      </c>
      <c r="L30" s="21">
        <f>IF(Assumptions!$C$39="Investment",_xlfn.LET(_xlpm.gr,Assumptions!$C$35*12*(1+Assumptions!$C$36)^(A30-1),Assumptions!$C$37*(1+Assumptions!$C$36)^(A30-1)+MIN(_xlpm.gr,30000)*0.12+MAX(0,MIN(_xlpm.gr,45000)-30000)*0.2+MAX(0,MIN(_xlpm.gr,60000)-45000)*0.28+MAX(0,_xlpm.gr-60000)*0.36+K30*Assumptions!$C$41),Assumptions!$C$37*(1+Assumptions!$C$36)^(A30-1)+MAX(0,MIN(K30,25000)-12000)*0.04+MAX(0,MIN(K30,38000)-25000)*0.06+MAX(0,MIN(K30,50000)-38000)*0.08+MAX(0,MIN(K30,65000)-50000)*0.1+MAX(0,MIN(K30,80000)-65000)*0.12+MAX(0,MIN(K30,95000)-80000)*0.14+MAX(0,MIN(K30,110000)-95000)*0.16+MAX(0,K30-110000)*0.23)</f>
        <v>5935.2594487553124</v>
      </c>
      <c r="M30" s="21">
        <f>IF(Assumptions!$C$39="Investment",(K30-I30-L30)*(1-Assumptions!$C$42),K30-I30-L30)</f>
        <v>48164.890643965889</v>
      </c>
      <c r="N30" s="21">
        <f t="shared" si="5"/>
        <v>524870.64573111944</v>
      </c>
      <c r="O30" s="31">
        <f t="shared" si="6"/>
        <v>1.1382395649485961</v>
      </c>
      <c r="P30" s="21">
        <f>Assumptions!$C$8*(1+Assumptions!$C$9)^A30-Assumptions!$C$8+$C$7*((1+Assumptions!$C$9)^A30-1)</f>
        <v>134489.44994943315</v>
      </c>
      <c r="Q30" s="21">
        <f t="shared" si="7"/>
        <v>746892.89872237807</v>
      </c>
      <c r="R30" s="21">
        <f>N30/(1+Assumptions!$C$43)^A30</f>
        <v>362405.1026731754</v>
      </c>
      <c r="S30">
        <f>((H30/$C$10)^(1/A30))/(1+Assumptions!$C$43)-1</f>
        <v>2.6313146534619358E-2</v>
      </c>
    </row>
    <row r="31" spans="1:19" x14ac:dyDescent="0.2">
      <c r="A31" s="30">
        <f t="shared" si="0"/>
        <v>16</v>
      </c>
      <c r="B31" s="30">
        <f t="shared" si="1"/>
        <v>48</v>
      </c>
      <c r="C31" s="30">
        <f t="shared" si="2"/>
        <v>41</v>
      </c>
      <c r="D31" s="31">
        <f>VLOOKUP(C31,'Bala Table'!$A:$B,2,FALSE)</f>
        <v>0.503</v>
      </c>
      <c r="E31" s="21">
        <f>E30*(1+Assumptions!$C$34)</f>
        <v>3002968.7298857141</v>
      </c>
      <c r="F31" s="21">
        <f t="shared" si="3"/>
        <v>1510493.2711325141</v>
      </c>
      <c r="G31" s="21">
        <f>IF(A31&lt;=Assumptions!$C$26,PV('Scenario Tables'!C$27/12,(Assumptions!$C$26-A31)*12,-$C$11),0)</f>
        <v>591413.01912783319</v>
      </c>
      <c r="H31" s="21">
        <f t="shared" si="4"/>
        <v>919080.25200468092</v>
      </c>
      <c r="I31" s="21">
        <f>IF(A31&lt;=Assumptions!$C$26,G30*'Scenario Tables'!C$27,0)</f>
        <v>16275.744946531559</v>
      </c>
      <c r="J31" s="21">
        <f>IF(A31&lt;=Assumptions!$C$26,$C$12-I31,0)</f>
        <v>34167.058707050855</v>
      </c>
      <c r="K31" s="21">
        <f>IF(Assumptions!$C$39="Investment",Assumptions!$C$35*12*(1+Assumptions!$C$36)^(A31-1)*(1-Assumptions!$C$40),Assumptions!$C$35*12*(1+Assumptions!$C$36)^(A31-1))</f>
        <v>72676.890269502983</v>
      </c>
      <c r="L31" s="21">
        <f>IF(Assumptions!$C$39="Investment",_xlfn.LET(_xlpm.gr,Assumptions!$C$35*12*(1+Assumptions!$C$36)^(A31-1),Assumptions!$C$37*(1+Assumptions!$C$36)^(A31-1)+MIN(_xlpm.gr,30000)*0.12+MAX(0,MIN(_xlpm.gr,45000)-30000)*0.2+MAX(0,MIN(_xlpm.gr,60000)-45000)*0.28+MAX(0,_xlpm.gr-60000)*0.36+K31*Assumptions!$C$41),Assumptions!$C$37*(1+Assumptions!$C$36)^(A31-1)+MAX(0,MIN(K31,25000)-12000)*0.04+MAX(0,MIN(K31,38000)-25000)*0.06+MAX(0,MIN(K31,50000)-38000)*0.08+MAX(0,MIN(K31,65000)-50000)*0.1+MAX(0,MIN(K31,80000)-65000)*0.12+MAX(0,MIN(K31,95000)-80000)*0.14+MAX(0,MIN(K31,110000)-95000)*0.16+MAX(0,K31-110000)*0.23)</f>
        <v>6134.7646377304172</v>
      </c>
      <c r="M31" s="21">
        <f>IF(Assumptions!$C$39="Investment",(K31-I31-L31)*(1-Assumptions!$C$42),K31-I31-L31)</f>
        <v>50266.380685241005</v>
      </c>
      <c r="N31" s="21">
        <f t="shared" si="5"/>
        <v>575137.0264163604</v>
      </c>
      <c r="O31" s="31">
        <f t="shared" si="6"/>
        <v>1.2296949345091726</v>
      </c>
      <c r="P31" s="21">
        <f>Assumptions!$C$8*(1+Assumptions!$C$9)^A31-Assumptions!$C$8+$C$7*((1+Assumptions!$C$9)^A31-1)</f>
        <v>145351.68619816896</v>
      </c>
      <c r="Q31" s="21">
        <f t="shared" si="7"/>
        <v>773728.56580651202</v>
      </c>
      <c r="R31" s="21">
        <f>N31/(1+Assumptions!$C$43)^A31</f>
        <v>387426.64117394225</v>
      </c>
      <c r="S31">
        <f>((H31/$C$10)^(1/A31))/(1+Assumptions!$C$43)-1</f>
        <v>2.5749880535837821E-2</v>
      </c>
    </row>
    <row r="32" spans="1:19" x14ac:dyDescent="0.2">
      <c r="A32" s="30">
        <f t="shared" si="0"/>
        <v>17</v>
      </c>
      <c r="B32" s="30">
        <f t="shared" si="1"/>
        <v>49</v>
      </c>
      <c r="C32" s="30">
        <f t="shared" si="2"/>
        <v>40</v>
      </c>
      <c r="D32" s="31">
        <f>VLOOKUP(C32,'Bala Table'!$A:$B,2,FALSE)</f>
        <v>0.49399999999999999</v>
      </c>
      <c r="E32" s="21">
        <f>E31*(1+Assumptions!$C$34)</f>
        <v>3063028.1044834284</v>
      </c>
      <c r="F32" s="21">
        <f t="shared" si="3"/>
        <v>1513135.8836148137</v>
      </c>
      <c r="G32" s="21">
        <f>IF(A32&lt;=Assumptions!$C$26,PV('Scenario Tables'!C$27/12,(Assumptions!$C$26-A32)*12,-$C$11),0)</f>
        <v>555926.05064373103</v>
      </c>
      <c r="H32" s="21">
        <f t="shared" si="4"/>
        <v>957209.83297108265</v>
      </c>
      <c r="I32" s="21">
        <f>IF(A32&lt;=Assumptions!$C$26,G31*'Scenario Tables'!C$27,0)</f>
        <v>15376.738497323662</v>
      </c>
      <c r="J32" s="21">
        <f>IF(A32&lt;=Assumptions!$C$26,$C$12-I32,0)</f>
        <v>35066.065156258752</v>
      </c>
      <c r="K32" s="21">
        <f>IF(Assumptions!$C$39="Investment",Assumptions!$C$35*12*(1+Assumptions!$C$36)^(A32-1)*(1-Assumptions!$C$40),Assumptions!$C$35*12*(1+Assumptions!$C$36)^(A32-1))</f>
        <v>74130.428074893047</v>
      </c>
      <c r="L32" s="21">
        <f>IF(Assumptions!$C$39="Investment",_xlfn.LET(_xlpm.gr,Assumptions!$C$35*12*(1+Assumptions!$C$36)^(A32-1),Assumptions!$C$37*(1+Assumptions!$C$36)^(A32-1)+MIN(_xlpm.gr,30000)*0.12+MAX(0,MIN(_xlpm.gr,45000)-30000)*0.2+MAX(0,MIN(_xlpm.gr,60000)-45000)*0.28+MAX(0,_xlpm.gr-60000)*0.36+K32*Assumptions!$C$41),Assumptions!$C$37*(1+Assumptions!$C$36)^(A32-1)+MAX(0,MIN(K32,25000)-12000)*0.04+MAX(0,MIN(K32,38000)-25000)*0.06+MAX(0,MIN(K32,50000)-38000)*0.08+MAX(0,MIN(K32,65000)-50000)*0.1+MAX(0,MIN(K32,80000)-65000)*0.12+MAX(0,MIN(K32,95000)-80000)*0.14+MAX(0,MIN(K32,110000)-95000)*0.16+MAX(0,K32-110000)*0.23)</f>
        <v>6338.2599304850264</v>
      </c>
      <c r="M32" s="21">
        <f>IF(Assumptions!$C$39="Investment",(K32-I32-L32)*(1-Assumptions!$C$42),K32-I32-L32)</f>
        <v>52415.429647084355</v>
      </c>
      <c r="N32" s="21">
        <f t="shared" si="5"/>
        <v>627552.45606344473</v>
      </c>
      <c r="O32" s="31">
        <f t="shared" si="6"/>
        <v>1.322197556941006</v>
      </c>
      <c r="P32" s="21">
        <f>Assumptions!$C$8*(1+Assumptions!$C$9)^A32-Assumptions!$C$8+$C$7*((1+Assumptions!$C$9)^A32-1)</f>
        <v>156485.47835312312</v>
      </c>
      <c r="Q32" s="21">
        <f t="shared" si="7"/>
        <v>800724.35461795959</v>
      </c>
      <c r="R32" s="21">
        <f>N32/(1+Assumptions!$C$43)^A32</f>
        <v>412424.37217991159</v>
      </c>
      <c r="S32">
        <f>((H32/$C$10)^(1/A32))/(1+Assumptions!$C$43)-1</f>
        <v>2.5178795615497629E-2</v>
      </c>
    </row>
    <row r="33" spans="1:19" x14ac:dyDescent="0.2">
      <c r="A33" s="30">
        <f t="shared" si="0"/>
        <v>18</v>
      </c>
      <c r="B33" s="30">
        <f t="shared" si="1"/>
        <v>50</v>
      </c>
      <c r="C33" s="30">
        <f t="shared" si="2"/>
        <v>39</v>
      </c>
      <c r="D33" s="31">
        <f>VLOOKUP(C33,'Bala Table'!$A:$B,2,FALSE)</f>
        <v>0.48399999999999999</v>
      </c>
      <c r="E33" s="21">
        <f>E32*(1+Assumptions!$C$34)</f>
        <v>3124288.666573097</v>
      </c>
      <c r="F33" s="21">
        <f t="shared" si="3"/>
        <v>1512155.7146213788</v>
      </c>
      <c r="G33" s="21">
        <f>IF(A33&lt;=Assumptions!$C$26,PV('Scenario Tables'!C$27/12,(Assumptions!$C$26-A33)*12,-$C$11),0)</f>
        <v>519505.34613618074</v>
      </c>
      <c r="H33" s="21">
        <f t="shared" si="4"/>
        <v>992650.36848519812</v>
      </c>
      <c r="I33" s="21">
        <f>IF(A33&lt;=Assumptions!$C$26,G32*'Scenario Tables'!C$27,0)</f>
        <v>14454.077316737006</v>
      </c>
      <c r="J33" s="21">
        <f>IF(A33&lt;=Assumptions!$C$26,$C$12-I33,0)</f>
        <v>35988.726336845408</v>
      </c>
      <c r="K33" s="21">
        <f>IF(Assumptions!$C$39="Investment",Assumptions!$C$35*12*(1+Assumptions!$C$36)^(A33-1)*(1-Assumptions!$C$40),Assumptions!$C$35*12*(1+Assumptions!$C$36)^(A33-1))</f>
        <v>75613.036636390912</v>
      </c>
      <c r="L33" s="21">
        <f>IF(Assumptions!$C$39="Investment",_xlfn.LET(_xlpm.gr,Assumptions!$C$35*12*(1+Assumptions!$C$36)^(A33-1),Assumptions!$C$37*(1+Assumptions!$C$36)^(A33-1)+MIN(_xlpm.gr,30000)*0.12+MAX(0,MIN(_xlpm.gr,45000)-30000)*0.2+MAX(0,MIN(_xlpm.gr,60000)-45000)*0.28+MAX(0,_xlpm.gr-60000)*0.36+K33*Assumptions!$C$41),Assumptions!$C$37*(1+Assumptions!$C$36)^(A33-1)+MAX(0,MIN(K33,25000)-12000)*0.04+MAX(0,MIN(K33,38000)-25000)*0.06+MAX(0,MIN(K33,50000)-38000)*0.08+MAX(0,MIN(K33,65000)-50000)*0.1+MAX(0,MIN(K33,80000)-65000)*0.12+MAX(0,MIN(K33,95000)-80000)*0.14+MAX(0,MIN(K33,110000)-95000)*0.16+MAX(0,K33-110000)*0.23)</f>
        <v>6545.8251290947283</v>
      </c>
      <c r="M33" s="21">
        <f>IF(Assumptions!$C$39="Investment",(K33-I33-L33)*(1-Assumptions!$C$42),K33-I33-L33)</f>
        <v>54613.134190559176</v>
      </c>
      <c r="N33" s="21">
        <f t="shared" si="5"/>
        <v>682165.59025400388</v>
      </c>
      <c r="O33" s="31">
        <f t="shared" si="6"/>
        <v>1.4081765368393937</v>
      </c>
      <c r="P33" s="21">
        <f>Assumptions!$C$8*(1+Assumptions!$C$9)^A33-Assumptions!$C$8+$C$7*((1+Assumptions!$C$9)^A33-1)</f>
        <v>167897.6153119512</v>
      </c>
      <c r="Q33" s="21">
        <f t="shared" si="7"/>
        <v>824752.75317324698</v>
      </c>
      <c r="R33" s="21">
        <f>N33/(1+Assumptions!$C$43)^A33</f>
        <v>437381.32099638839</v>
      </c>
      <c r="S33">
        <f>((H33/$C$10)^(1/A33))/(1+Assumptions!$C$43)-1</f>
        <v>2.4427059006675522E-2</v>
      </c>
    </row>
    <row r="34" spans="1:19" x14ac:dyDescent="0.2">
      <c r="A34" s="30">
        <f t="shared" si="0"/>
        <v>19</v>
      </c>
      <c r="B34" s="30">
        <f t="shared" si="1"/>
        <v>51</v>
      </c>
      <c r="C34" s="30">
        <f t="shared" si="2"/>
        <v>38</v>
      </c>
      <c r="D34" s="31">
        <f>VLOOKUP(C34,'Bala Table'!$A:$B,2,FALSE)</f>
        <v>0.47399999999999998</v>
      </c>
      <c r="E34" s="21">
        <f>E33*(1+Assumptions!$C$34)</f>
        <v>3186774.4399045589</v>
      </c>
      <c r="F34" s="21">
        <f t="shared" si="3"/>
        <v>1510531.0845147609</v>
      </c>
      <c r="G34" s="21">
        <f>IF(A34&lt;=Assumptions!$C$26,PV('Scenario Tables'!C$27/12,(Assumptions!$C$26-A34)*12,-$C$11),0)</f>
        <v>482126.33706639922</v>
      </c>
      <c r="H34" s="21">
        <f t="shared" si="4"/>
        <v>1028404.7474483617</v>
      </c>
      <c r="I34" s="21">
        <f>IF(A34&lt;=Assumptions!$C$26,G33*'Scenario Tables'!C$27,0)</f>
        <v>13507.138999540699</v>
      </c>
      <c r="J34" s="21">
        <f>IF(A34&lt;=Assumptions!$C$26,$C$12-I34,0)</f>
        <v>36935.664654041713</v>
      </c>
      <c r="K34" s="21">
        <f>IF(Assumptions!$C$39="Investment",Assumptions!$C$35*12*(1+Assumptions!$C$36)^(A34-1)*(1-Assumptions!$C$40),Assumptions!$C$35*12*(1+Assumptions!$C$36)^(A34-1))</f>
        <v>77125.297369118722</v>
      </c>
      <c r="L34" s="21">
        <f>IF(Assumptions!$C$39="Investment",_xlfn.LET(_xlpm.gr,Assumptions!$C$35*12*(1+Assumptions!$C$36)^(A34-1),Assumptions!$C$37*(1+Assumptions!$C$36)^(A34-1)+MIN(_xlpm.gr,30000)*0.12+MAX(0,MIN(_xlpm.gr,45000)-30000)*0.2+MAX(0,MIN(_xlpm.gr,60000)-45000)*0.28+MAX(0,_xlpm.gr-60000)*0.36+K34*Assumptions!$C$41),Assumptions!$C$37*(1+Assumptions!$C$36)^(A34-1)+MAX(0,MIN(K34,25000)-12000)*0.04+MAX(0,MIN(K34,38000)-25000)*0.06+MAX(0,MIN(K34,50000)-38000)*0.08+MAX(0,MIN(K34,65000)-50000)*0.1+MAX(0,MIN(K34,80000)-65000)*0.12+MAX(0,MIN(K34,95000)-80000)*0.14+MAX(0,MIN(K34,110000)-95000)*0.16+MAX(0,K34-110000)*0.23)</f>
        <v>6757.5416316766214</v>
      </c>
      <c r="M34" s="21">
        <f>IF(Assumptions!$C$39="Investment",(K34-I34-L34)*(1-Assumptions!$C$42),K34-I34-L34)</f>
        <v>56860.6167379014</v>
      </c>
      <c r="N34" s="21">
        <f t="shared" si="5"/>
        <v>739026.20699190523</v>
      </c>
      <c r="O34" s="31">
        <f t="shared" si="6"/>
        <v>1.4949169030770542</v>
      </c>
      <c r="P34" s="21">
        <f>Assumptions!$C$8*(1+Assumptions!$C$9)^A34-Assumptions!$C$8+$C$7*((1+Assumptions!$C$9)^A34-1)</f>
        <v>179595.05569474999</v>
      </c>
      <c r="Q34" s="21">
        <f t="shared" si="7"/>
        <v>848809.69175361167</v>
      </c>
      <c r="R34" s="21">
        <f>N34/(1+Assumptions!$C$43)^A34</f>
        <v>462281.37564179348</v>
      </c>
      <c r="S34">
        <f>((H34/$C$10)^(1/A34))/(1+Assumptions!$C$43)-1</f>
        <v>2.370264007848899E-2</v>
      </c>
    </row>
    <row r="35" spans="1:19" x14ac:dyDescent="0.2">
      <c r="A35" s="30">
        <f t="shared" si="0"/>
        <v>20</v>
      </c>
      <c r="B35" s="30">
        <f t="shared" si="1"/>
        <v>52</v>
      </c>
      <c r="C35" s="30">
        <f t="shared" si="2"/>
        <v>37</v>
      </c>
      <c r="D35" s="31">
        <f>VLOOKUP(C35,'Bala Table'!$A:$B,2,FALSE)</f>
        <v>0.46400000000000002</v>
      </c>
      <c r="E35" s="21">
        <f>E34*(1+Assumptions!$C$34)</f>
        <v>3250509.9287026501</v>
      </c>
      <c r="F35" s="21">
        <f t="shared" si="3"/>
        <v>1508236.6069180297</v>
      </c>
      <c r="G35" s="21">
        <f>IF(A35&lt;=Assumptions!$C$26,PV('Scenario Tables'!C$27/12,(Assumptions!$C$26-A35)*12,-$C$11),0)</f>
        <v>443763.80844619818</v>
      </c>
      <c r="H35" s="21">
        <f t="shared" si="4"/>
        <v>1064472.7984718315</v>
      </c>
      <c r="I35" s="21">
        <f>IF(A35&lt;=Assumptions!$C$26,G34*'Scenario Tables'!C$27,0)</f>
        <v>12535.284763726379</v>
      </c>
      <c r="J35" s="21">
        <f>IF(A35&lt;=Assumptions!$C$26,$C$12-I35,0)</f>
        <v>37907.518889856037</v>
      </c>
      <c r="K35" s="21">
        <f>IF(Assumptions!$C$39="Investment",Assumptions!$C$35*12*(1+Assumptions!$C$36)^(A35-1)*(1-Assumptions!$C$40),Assumptions!$C$35*12*(1+Assumptions!$C$36)^(A35-1))</f>
        <v>78667.8033165011</v>
      </c>
      <c r="L35" s="21">
        <f>IF(Assumptions!$C$39="Investment",_xlfn.LET(_xlpm.gr,Assumptions!$C$35*12*(1+Assumptions!$C$36)^(A35-1),Assumptions!$C$37*(1+Assumptions!$C$36)^(A35-1)+MIN(_xlpm.gr,30000)*0.12+MAX(0,MIN(_xlpm.gr,45000)-30000)*0.2+MAX(0,MIN(_xlpm.gr,60000)-45000)*0.28+MAX(0,_xlpm.gr-60000)*0.36+K35*Assumptions!$C$41),Assumptions!$C$37*(1+Assumptions!$C$36)^(A35-1)+MAX(0,MIN(K35,25000)-12000)*0.04+MAX(0,MIN(K35,38000)-25000)*0.06+MAX(0,MIN(K35,50000)-38000)*0.08+MAX(0,MIN(K35,65000)-50000)*0.1+MAX(0,MIN(K35,80000)-65000)*0.12+MAX(0,MIN(K35,95000)-80000)*0.14+MAX(0,MIN(K35,110000)-95000)*0.16+MAX(0,K35-110000)*0.23)</f>
        <v>6973.492464310154</v>
      </c>
      <c r="M35" s="21">
        <f>IF(Assumptions!$C$39="Investment",(K35-I35-L35)*(1-Assumptions!$C$42),K35-I35-L35)</f>
        <v>59159.026088464569</v>
      </c>
      <c r="N35" s="21">
        <f t="shared" si="5"/>
        <v>798185.23308036977</v>
      </c>
      <c r="O35" s="31">
        <f t="shared" si="6"/>
        <v>1.5824182398637348</v>
      </c>
      <c r="P35" s="21">
        <f>Assumptions!$C$8*(1+Assumptions!$C$9)^A35-Assumptions!$C$8+$C$7*((1+Assumptions!$C$9)^A35-1)</f>
        <v>191584.93208711868</v>
      </c>
      <c r="Q35" s="21">
        <f t="shared" si="7"/>
        <v>872887.86638471275</v>
      </c>
      <c r="R35" s="21">
        <f>N35/(1+Assumptions!$C$43)^A35</f>
        <v>487109.25476795255</v>
      </c>
      <c r="S35">
        <f>((H35/$C$10)^(1/A35))/(1+Assumptions!$C$43)-1</f>
        <v>2.3004310471528733E-2</v>
      </c>
    </row>
    <row r="37" spans="1:19" x14ac:dyDescent="0.2">
      <c r="A37" s="23" t="s">
        <v>81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9" x14ac:dyDescent="0.2">
      <c r="A38" s="13" t="s">
        <v>82</v>
      </c>
      <c r="E38" s="22">
        <f>H35</f>
        <v>1064472.7984718315</v>
      </c>
      <c r="G38" s="13" t="s">
        <v>83</v>
      </c>
      <c r="I38" s="22">
        <f>G35</f>
        <v>443763.80844619818</v>
      </c>
    </row>
    <row r="39" spans="1:19" x14ac:dyDescent="0.2">
      <c r="A39" s="13" t="s">
        <v>84</v>
      </c>
      <c r="E39" s="25">
        <f>Q35</f>
        <v>872887.86638471275</v>
      </c>
      <c r="G39" s="13" t="s">
        <v>85</v>
      </c>
      <c r="I39" s="22">
        <f>P35</f>
        <v>191584.93208711868</v>
      </c>
    </row>
    <row r="40" spans="1:19" x14ac:dyDescent="0.2">
      <c r="A40" s="13" t="s">
        <v>86</v>
      </c>
      <c r="E40" s="32">
        <f>O35</f>
        <v>1.5824182398637348</v>
      </c>
      <c r="G40" s="13" t="s">
        <v>87</v>
      </c>
      <c r="I40" s="33">
        <f>(H35/$C$10)^(1/20)-1</f>
        <v>4.8579418233316796E-2</v>
      </c>
    </row>
    <row r="41" spans="1:19" x14ac:dyDescent="0.2">
      <c r="A41" s="13" t="s">
        <v>88</v>
      </c>
      <c r="E41" s="22">
        <f>N35</f>
        <v>798185.23308036977</v>
      </c>
      <c r="G41" s="13" t="s">
        <v>89</v>
      </c>
      <c r="I41" s="34" cm="1">
        <f t="array" ref="I41">IFERROR(MATCH(TRUE,INDEX(H16:H35&gt;$C$10,0),0),"Never")</f>
        <v>2</v>
      </c>
    </row>
    <row r="42" spans="1:19" x14ac:dyDescent="0.2">
      <c r="A42" s="125" t="s">
        <v>191</v>
      </c>
      <c r="E42" s="127">
        <f>S35</f>
        <v>2.3004310471528733E-2</v>
      </c>
      <c r="G42" s="125" t="s">
        <v>192</v>
      </c>
      <c r="I42" s="126">
        <f>R35</f>
        <v>487109.25476795255</v>
      </c>
    </row>
    <row r="43" spans="1:19" x14ac:dyDescent="0.2">
      <c r="A43" s="125" t="s">
        <v>193</v>
      </c>
      <c r="E43" s="128">
        <f>Assumptions!$C$43</f>
        <v>2.5000000000000001E-2</v>
      </c>
      <c r="G43" s="13"/>
      <c r="I43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2B21-26F4-7445-8A05-E385981BDEDD}">
  <dimension ref="A1:S43"/>
  <sheetViews>
    <sheetView workbookViewId="0">
      <selection activeCell="L24" sqref="L24"/>
    </sheetView>
  </sheetViews>
  <sheetFormatPr baseColWidth="10" defaultRowHeight="16" x14ac:dyDescent="0.2"/>
  <cols>
    <col min="1" max="17" width="16.6640625" customWidth="1"/>
  </cols>
  <sheetData>
    <row r="1" spans="1:19" ht="19" x14ac:dyDescent="0.25">
      <c r="A1" s="7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9" x14ac:dyDescent="0.2">
      <c r="A3" s="23" t="s">
        <v>57</v>
      </c>
      <c r="B3" s="4"/>
      <c r="C3" s="4"/>
    </row>
    <row r="4" spans="1:19" x14ac:dyDescent="0.2">
      <c r="A4" t="s">
        <v>36</v>
      </c>
      <c r="C4" s="21">
        <f>Assumptions!F31</f>
        <v>780000</v>
      </c>
    </row>
    <row r="5" spans="1:19" x14ac:dyDescent="0.2">
      <c r="A5" t="s">
        <v>58</v>
      </c>
      <c r="C5" s="21">
        <f>Assumptions!C22*Assumptions!F31</f>
        <v>585000</v>
      </c>
    </row>
    <row r="6" spans="1:19" x14ac:dyDescent="0.2">
      <c r="A6" t="s">
        <v>59</v>
      </c>
      <c r="C6" s="21">
        <f>Assumptions!C23*Assumptions!F31-C7</f>
        <v>45000</v>
      </c>
    </row>
    <row r="7" spans="1:19" x14ac:dyDescent="0.2">
      <c r="A7" t="s">
        <v>60</v>
      </c>
      <c r="C7" s="21">
        <f>MIN(Assumptions!C24*Assumptions!F31,Assumptions!C8)</f>
        <v>150000</v>
      </c>
    </row>
    <row r="8" spans="1:19" x14ac:dyDescent="0.2">
      <c r="A8" t="s">
        <v>61</v>
      </c>
      <c r="C8" s="21">
        <f>Assumptions!F51</f>
        <v>27200</v>
      </c>
    </row>
    <row r="9" spans="1:19" x14ac:dyDescent="0.2">
      <c r="A9" t="s">
        <v>62</v>
      </c>
      <c r="C9" s="25">
        <f>C6+C8</f>
        <v>72200</v>
      </c>
    </row>
    <row r="10" spans="1:19" x14ac:dyDescent="0.2">
      <c r="A10" t="s">
        <v>63</v>
      </c>
      <c r="C10" s="25">
        <f>C6+C7+C8</f>
        <v>222200</v>
      </c>
    </row>
    <row r="11" spans="1:19" x14ac:dyDescent="0.2">
      <c r="A11" t="s">
        <v>64</v>
      </c>
      <c r="C11" s="21">
        <f>PMT('Scenario Tables'!F$27/12,Assumptions!C26*12,-C5)</f>
        <v>2341.9873124877554</v>
      </c>
    </row>
    <row r="12" spans="1:19" x14ac:dyDescent="0.2">
      <c r="A12" t="s">
        <v>65</v>
      </c>
      <c r="C12" s="21">
        <f>C11*12</f>
        <v>28103.847749853063</v>
      </c>
    </row>
    <row r="14" spans="1:19" ht="51" x14ac:dyDescent="0.2">
      <c r="A14" s="26" t="s">
        <v>66</v>
      </c>
      <c r="B14" s="26" t="s">
        <v>67</v>
      </c>
      <c r="C14" s="28" t="s">
        <v>68</v>
      </c>
      <c r="D14" s="28" t="s">
        <v>69</v>
      </c>
      <c r="E14" s="28" t="s">
        <v>70</v>
      </c>
      <c r="F14" s="28" t="s">
        <v>71</v>
      </c>
      <c r="G14" s="28" t="s">
        <v>72</v>
      </c>
      <c r="H14" s="28" t="s">
        <v>73</v>
      </c>
      <c r="I14" s="28" t="s">
        <v>74</v>
      </c>
      <c r="J14" s="28" t="s">
        <v>75</v>
      </c>
      <c r="K14" s="28" t="s">
        <v>184</v>
      </c>
      <c r="L14" s="28" t="s">
        <v>185</v>
      </c>
      <c r="M14" s="28" t="s">
        <v>186</v>
      </c>
      <c r="N14" s="28" t="s">
        <v>76</v>
      </c>
      <c r="O14" s="28" t="s">
        <v>77</v>
      </c>
      <c r="P14" s="28" t="s">
        <v>78</v>
      </c>
      <c r="Q14" s="28" t="s">
        <v>79</v>
      </c>
      <c r="R14" s="73" t="s">
        <v>189</v>
      </c>
      <c r="S14" s="73" t="s">
        <v>190</v>
      </c>
    </row>
    <row r="15" spans="1:19" x14ac:dyDescent="0.2">
      <c r="A15" s="30">
        <v>0</v>
      </c>
      <c r="B15" s="30">
        <f>Assumptions!C4</f>
        <v>32</v>
      </c>
      <c r="C15" s="30">
        <f>Assumptions!F33</f>
        <v>78</v>
      </c>
      <c r="D15" s="31">
        <f>VLOOKUP(C15,'Bala Table'!A:B,2,FALSE)</f>
        <v>0.78200000000000003</v>
      </c>
      <c r="E15" s="21">
        <f>C4/D15</f>
        <v>997442.45524296677</v>
      </c>
      <c r="F15" s="21">
        <f>C4</f>
        <v>780000</v>
      </c>
      <c r="G15" s="21">
        <f>C5</f>
        <v>585000</v>
      </c>
      <c r="H15" s="21">
        <f>F15-G15</f>
        <v>195000</v>
      </c>
      <c r="I15" s="29" t="s">
        <v>80</v>
      </c>
      <c r="J15" s="29" t="s">
        <v>80</v>
      </c>
      <c r="K15" s="29" t="s">
        <v>80</v>
      </c>
      <c r="L15" s="29" t="s">
        <v>80</v>
      </c>
      <c r="M15" s="29" t="s">
        <v>80</v>
      </c>
      <c r="N15" s="29" t="s">
        <v>80</v>
      </c>
      <c r="O15" s="29" t="s">
        <v>80</v>
      </c>
      <c r="P15" s="21">
        <v>0</v>
      </c>
      <c r="Q15" s="21">
        <f>H15-P15</f>
        <v>195000</v>
      </c>
      <c r="R15" s="124" t="s">
        <v>80</v>
      </c>
      <c r="S15" s="124" t="s">
        <v>80</v>
      </c>
    </row>
    <row r="16" spans="1:19" x14ac:dyDescent="0.2">
      <c r="A16" s="30">
        <f>A15+1</f>
        <v>1</v>
      </c>
      <c r="B16" s="30">
        <f>B15+1</f>
        <v>33</v>
      </c>
      <c r="C16" s="30">
        <f>C15-1</f>
        <v>77</v>
      </c>
      <c r="D16" s="31">
        <f>VLOOKUP(C16,'Bala Table'!$A:$B,2,FALSE)</f>
        <v>0.77600000000000002</v>
      </c>
      <c r="E16" s="21">
        <f>E15*(1+Assumptions!$F$34)</f>
        <v>1027365.7289002558</v>
      </c>
      <c r="F16" s="21">
        <f>E16*D16</f>
        <v>797235.80562659854</v>
      </c>
      <c r="G16" s="21">
        <f>IF(A16&lt;=Assumptions!$C$26,PV('Scenario Tables'!F$27/12,(Assumptions!$C$26-A16)*12,-$C$11),0)</f>
        <v>571951.38542922447</v>
      </c>
      <c r="H16" s="21">
        <f>F16-G16</f>
        <v>225284.42019737407</v>
      </c>
      <c r="I16" s="21">
        <f>IF(A16&lt;=Assumptions!$C$26,G15*'Scenario Tables'!F$27,0)</f>
        <v>15210</v>
      </c>
      <c r="J16" s="21">
        <f>IF(A16&lt;=Assumptions!$C$26,$C$12-I16,0)</f>
        <v>12893.847749853063</v>
      </c>
      <c r="K16" s="21">
        <f>IF(Assumptions!$C$39="Investment",Assumptions!$F$35*12*(1+Assumptions!$F$36)^(A16-1)*(1-Assumptions!$C$40),Assumptions!$F$35*12*(1+Assumptions!$F$36)^(A16-1))</f>
        <v>54000</v>
      </c>
      <c r="L16" s="21">
        <f>IF(Assumptions!$C$39="Investment",_xlfn.LET(_xlpm.gr,Assumptions!$F$35*12*(1+Assumptions!$F$36)^(A16-1),Assumptions!$F$37*(1+Assumptions!$F$36)^(A16-1)+MIN(_xlpm.gr,30000)*0.12+MAX(0,MIN(_xlpm.gr,45000)-30000)*0.2+MAX(0,MIN(_xlpm.gr,60000)-45000)*0.28+MAX(0,_xlpm.gr-60000)*0.36+K16*Assumptions!$C$41),Assumptions!$F$37*(1+Assumptions!$F$36)^(A16-1)+MAX(0,MIN(K16,25000)-12000)*0.04+MAX(0,MIN(K16,38000)-25000)*0.06+MAX(0,MIN(K16,50000)-38000)*0.08+MAX(0,MIN(K16,65000)-50000)*0.1+MAX(0,MIN(K16,80000)-65000)*0.12+MAX(0,MIN(K16,95000)-80000)*0.14+MAX(0,MIN(K16,110000)-95000)*0.16+MAX(0,K16-110000)*0.23)</f>
        <v>3860</v>
      </c>
      <c r="M16" s="21">
        <f>IF(Assumptions!$C$39="Investment",(K16-I16-L16)*(1-Assumptions!$C$42),K16-I16-L16)</f>
        <v>34930</v>
      </c>
      <c r="N16" s="21">
        <f>IF(A16=1,M16,N15+M16)</f>
        <v>34930</v>
      </c>
      <c r="O16" s="31">
        <f>(H16-$C$10)/$C$10</f>
        <v>1.3881279016084928E-2</v>
      </c>
      <c r="P16" s="21">
        <f>Assumptions!$C$8*(1+Assumptions!$C$9)^A16-Assumptions!$C$8+$C$7*((1+Assumptions!$C$9)^A16-1)</f>
        <v>7499.9999999999873</v>
      </c>
      <c r="Q16" s="21">
        <f>H16-P16</f>
        <v>217784.42019737407</v>
      </c>
      <c r="R16" s="21">
        <f>N16/(1+Assumptions!$C$43)^A16</f>
        <v>34078.048780487807</v>
      </c>
      <c r="S16">
        <f>((H16/$C$10)^(1/A16))/(1+Assumptions!$C$43)-1</f>
        <v>-1.084753266723415E-2</v>
      </c>
    </row>
    <row r="17" spans="1:19" x14ac:dyDescent="0.2">
      <c r="A17" s="30">
        <f t="shared" ref="A17:B35" si="0">A16+1</f>
        <v>2</v>
      </c>
      <c r="B17" s="30">
        <f t="shared" si="0"/>
        <v>34</v>
      </c>
      <c r="C17" s="30">
        <f t="shared" ref="C17:C35" si="1">C16-1</f>
        <v>76</v>
      </c>
      <c r="D17" s="31">
        <f>VLOOKUP(C17,'Bala Table'!$A:$B,2,FALSE)</f>
        <v>0.77</v>
      </c>
      <c r="E17" s="21">
        <f>E16*(1+Assumptions!$F$34)</f>
        <v>1058186.7007672635</v>
      </c>
      <c r="F17" s="21">
        <f t="shared" ref="F17:F35" si="2">E17*D17</f>
        <v>814803.75959079294</v>
      </c>
      <c r="G17" s="21">
        <f>IF(A17&lt;=Assumptions!$C$26,PV('Scenario Tables'!F$27/12,(Assumptions!$C$26-A17)*12,-$C$11),0)</f>
        <v>558559.43464232772</v>
      </c>
      <c r="H17" s="21">
        <f t="shared" ref="H17:H35" si="3">F17-G17</f>
        <v>256244.32494846522</v>
      </c>
      <c r="I17" s="21">
        <f>IF(A17&lt;=Assumptions!$C$26,G16*'Scenario Tables'!F$27,0)</f>
        <v>14870.736021159835</v>
      </c>
      <c r="J17" s="21">
        <f>IF(A17&lt;=Assumptions!$C$26,$C$12-I17,0)</f>
        <v>13233.111728693228</v>
      </c>
      <c r="K17" s="21">
        <f>IF(Assumptions!$C$39="Investment",Assumptions!$F$35*12*(1+Assumptions!$F$36)^(A17-1)*(1-Assumptions!$C$40),Assumptions!$F$35*12*(1+Assumptions!$F$36)^(A17-1))</f>
        <v>55080</v>
      </c>
      <c r="L17" s="21">
        <f>IF(Assumptions!$C$39="Investment",_xlfn.LET(_xlpm.gr,Assumptions!$F$35*12*(1+Assumptions!$F$36)^(A17-1),Assumptions!$F$37*(1+Assumptions!$F$36)^(A17-1)+MIN(_xlpm.gr,30000)*0.12+MAX(0,MIN(_xlpm.gr,45000)-30000)*0.2+MAX(0,MIN(_xlpm.gr,60000)-45000)*0.28+MAX(0,_xlpm.gr-60000)*0.36+K17*Assumptions!$C$41),Assumptions!$F$37*(1+Assumptions!$F$36)^(A17-1)+MAX(0,MIN(K17,25000)-12000)*0.04+MAX(0,MIN(K17,38000)-25000)*0.06+MAX(0,MIN(K17,50000)-38000)*0.08+MAX(0,MIN(K17,65000)-50000)*0.1+MAX(0,MIN(K17,80000)-65000)*0.12+MAX(0,MIN(K17,95000)-80000)*0.14+MAX(0,MIN(K17,110000)-95000)*0.16+MAX(0,K17-110000)*0.23)</f>
        <v>3992</v>
      </c>
      <c r="M17" s="21">
        <f>IF(Assumptions!$C$39="Investment",(K17-I17-L17)*(1-Assumptions!$C$42),K17-I17-L17)</f>
        <v>36217.263978840165</v>
      </c>
      <c r="N17" s="21">
        <f t="shared" ref="N17:N35" si="4">IF(A17=1,M17,N16+M17)</f>
        <v>71147.263978840172</v>
      </c>
      <c r="O17" s="31">
        <f t="shared" ref="O17:O35" si="5">(H17-$C$10)/$C$10</f>
        <v>0.15321478374646813</v>
      </c>
      <c r="P17" s="21">
        <f>Assumptions!$C$8*(1+Assumptions!$C$9)^A17-Assumptions!$C$8+$C$7*((1+Assumptions!$C$9)^A17-1)</f>
        <v>15187.499999999989</v>
      </c>
      <c r="Q17" s="21">
        <f t="shared" ref="Q17:Q35" si="6">H17-P17</f>
        <v>241056.82494846522</v>
      </c>
      <c r="R17" s="21">
        <f>N17/(1+Assumptions!$C$43)^A17</f>
        <v>67718.990104785422</v>
      </c>
      <c r="S17">
        <f>((H17/$C$10)^(1/A17))/(1+Assumptions!$C$43)-1</f>
        <v>4.7686228349017146E-2</v>
      </c>
    </row>
    <row r="18" spans="1:19" x14ac:dyDescent="0.2">
      <c r="A18" s="30">
        <f t="shared" si="0"/>
        <v>3</v>
      </c>
      <c r="B18" s="30">
        <f t="shared" si="0"/>
        <v>35</v>
      </c>
      <c r="C18" s="30">
        <f t="shared" si="1"/>
        <v>75</v>
      </c>
      <c r="D18" s="31">
        <f>VLOOKUP(C18,'Bala Table'!$A:$B,2,FALSE)</f>
        <v>0.76400000000000001</v>
      </c>
      <c r="E18" s="21">
        <f>E17*(1+Assumptions!$F$34)</f>
        <v>1089932.3017902814</v>
      </c>
      <c r="F18" s="21">
        <f t="shared" si="2"/>
        <v>832708.27856777504</v>
      </c>
      <c r="G18" s="21">
        <f>IF(A18&lt;=Assumptions!$C$26,PV('Scenario Tables'!F$27/12,(Assumptions!$C$26-A18)*12,-$C$11),0)</f>
        <v>544815.11374865263</v>
      </c>
      <c r="H18" s="21">
        <f t="shared" si="3"/>
        <v>287893.16481912241</v>
      </c>
      <c r="I18" s="21">
        <f>IF(A18&lt;=Assumptions!$C$26,G17*'Scenario Tables'!F$27,0)</f>
        <v>14522.54530070052</v>
      </c>
      <c r="J18" s="21">
        <f>IF(A18&lt;=Assumptions!$C$26,$C$12-I18,0)</f>
        <v>13581.302449152543</v>
      </c>
      <c r="K18" s="21">
        <f>IF(Assumptions!$C$39="Investment",Assumptions!$F$35*12*(1+Assumptions!$F$36)^(A18-1)*(1-Assumptions!$C$40),Assumptions!$F$35*12*(1+Assumptions!$F$36)^(A18-1))</f>
        <v>56181.599999999999</v>
      </c>
      <c r="L18" s="21">
        <f>IF(Assumptions!$C$39="Investment",_xlfn.LET(_xlpm.gr,Assumptions!$F$35*12*(1+Assumptions!$F$36)^(A18-1),Assumptions!$F$37*(1+Assumptions!$F$36)^(A18-1)+MIN(_xlpm.gr,30000)*0.12+MAX(0,MIN(_xlpm.gr,45000)-30000)*0.2+MAX(0,MIN(_xlpm.gr,60000)-45000)*0.28+MAX(0,_xlpm.gr-60000)*0.36+K18*Assumptions!$C$41),Assumptions!$F$37*(1+Assumptions!$F$36)^(A18-1)+MAX(0,MIN(K18,25000)-12000)*0.04+MAX(0,MIN(K18,38000)-25000)*0.06+MAX(0,MIN(K18,50000)-38000)*0.08+MAX(0,MIN(K18,65000)-50000)*0.1+MAX(0,MIN(K18,80000)-65000)*0.12+MAX(0,MIN(K18,95000)-80000)*0.14+MAX(0,MIN(K18,110000)-95000)*0.16+MAX(0,K18-110000)*0.23)</f>
        <v>4126.6399999999994</v>
      </c>
      <c r="M18" s="21">
        <f>IF(Assumptions!$C$39="Investment",(K18-I18-L18)*(1-Assumptions!$C$42),K18-I18-L18)</f>
        <v>37532.414699299479</v>
      </c>
      <c r="N18" s="21">
        <f t="shared" si="4"/>
        <v>108679.67867813965</v>
      </c>
      <c r="O18" s="31">
        <f t="shared" si="5"/>
        <v>0.2956488065667075</v>
      </c>
      <c r="P18" s="21">
        <f>Assumptions!$C$8*(1+Assumptions!$C$9)^A18-Assumptions!$C$8+$C$7*((1+Assumptions!$C$9)^A18-1)</f>
        <v>23067.187499999953</v>
      </c>
      <c r="Q18" s="21">
        <f t="shared" si="6"/>
        <v>264825.97731912247</v>
      </c>
      <c r="R18" s="21">
        <f>N18/(1+Assumptions!$C$43)^A18</f>
        <v>100919.88559946806</v>
      </c>
      <c r="S18">
        <f>((H18/$C$10)^(1/A18))/(1+Assumptions!$C$43)-1</f>
        <v>6.3584258726209875E-2</v>
      </c>
    </row>
    <row r="19" spans="1:19" x14ac:dyDescent="0.2">
      <c r="A19" s="30">
        <f t="shared" si="0"/>
        <v>4</v>
      </c>
      <c r="B19" s="30">
        <f t="shared" si="0"/>
        <v>36</v>
      </c>
      <c r="C19" s="30">
        <f t="shared" si="1"/>
        <v>74</v>
      </c>
      <c r="D19" s="31">
        <f>VLOOKUP(C19,'Bala Table'!$A:$B,2,FALSE)</f>
        <v>0.75800000000000001</v>
      </c>
      <c r="E19" s="21">
        <f>E18*(1+Assumptions!$F$34)</f>
        <v>1122630.2708439899</v>
      </c>
      <c r="F19" s="21">
        <f t="shared" si="2"/>
        <v>850953.74529974442</v>
      </c>
      <c r="G19" s="21">
        <f>IF(A19&lt;=Assumptions!$C$26,PV('Scenario Tables'!F$27/12,(Assumptions!$C$26-A19)*12,-$C$11),0)</f>
        <v>530709.15115706809</v>
      </c>
      <c r="H19" s="21">
        <f>F19-G19</f>
        <v>320244.59414267633</v>
      </c>
      <c r="I19" s="21">
        <f>IF(A19&lt;=Assumptions!$C$26,G18*'Scenario Tables'!F$27,0)</f>
        <v>14165.192957464968</v>
      </c>
      <c r="J19" s="21">
        <f>IF(A19&lt;=Assumptions!$C$26,$C$12-I19,0)</f>
        <v>13938.654792388095</v>
      </c>
      <c r="K19" s="21">
        <f>IF(Assumptions!$C$39="Investment",Assumptions!$F$35*12*(1+Assumptions!$F$36)^(A19-1)*(1-Assumptions!$C$40),Assumptions!$F$35*12*(1+Assumptions!$F$36)^(A19-1))</f>
        <v>57305.231999999996</v>
      </c>
      <c r="L19" s="21">
        <f>IF(Assumptions!$C$39="Investment",_xlfn.LET(_xlpm.gr,Assumptions!$F$35*12*(1+Assumptions!$F$36)^(A19-1),Assumptions!$F$37*(1+Assumptions!$F$36)^(A19-1)+MIN(_xlpm.gr,30000)*0.12+MAX(0,MIN(_xlpm.gr,45000)-30000)*0.2+MAX(0,MIN(_xlpm.gr,60000)-45000)*0.28+MAX(0,_xlpm.gr-60000)*0.36+K19*Assumptions!$C$41),Assumptions!$F$37*(1+Assumptions!$F$36)^(A19-1)+MAX(0,MIN(K19,25000)-12000)*0.04+MAX(0,MIN(K19,38000)-25000)*0.06+MAX(0,MIN(K19,50000)-38000)*0.08+MAX(0,MIN(K19,65000)-50000)*0.1+MAX(0,MIN(K19,80000)-65000)*0.12+MAX(0,MIN(K19,95000)-80000)*0.14+MAX(0,MIN(K19,110000)-95000)*0.16+MAX(0,K19-110000)*0.23)</f>
        <v>4263.9727999999996</v>
      </c>
      <c r="M19" s="21">
        <f>IF(Assumptions!$C$39="Investment",(K19-I19-L19)*(1-Assumptions!$C$42),K19-I19-L19)</f>
        <v>38876.066242535031</v>
      </c>
      <c r="N19" s="21">
        <f t="shared" si="4"/>
        <v>147555.74492067468</v>
      </c>
      <c r="O19" s="31">
        <f t="shared" si="5"/>
        <v>0.44124479812185569</v>
      </c>
      <c r="P19" s="21">
        <f>Assumptions!$C$8*(1+Assumptions!$C$9)^A19-Assumptions!$C$8+$C$7*((1+Assumptions!$C$9)^A19-1)</f>
        <v>31143.867187499935</v>
      </c>
      <c r="Q19" s="21">
        <f t="shared" si="6"/>
        <v>289100.72695517639</v>
      </c>
      <c r="R19" s="21">
        <f>N19/(1+Assumptions!$C$43)^A19</f>
        <v>133678.22225479339</v>
      </c>
      <c r="S19">
        <f>((H19/$C$10)^(1/A19))/(1+Assumptions!$C$43)-1</f>
        <v>6.8957830059018121E-2</v>
      </c>
    </row>
    <row r="20" spans="1:19" x14ac:dyDescent="0.2">
      <c r="A20" s="30">
        <f t="shared" si="0"/>
        <v>5</v>
      </c>
      <c r="B20" s="30">
        <f t="shared" si="0"/>
        <v>37</v>
      </c>
      <c r="C20" s="30">
        <f t="shared" si="1"/>
        <v>73</v>
      </c>
      <c r="D20" s="31">
        <f>VLOOKUP(C20,'Bala Table'!$A:$B,2,FALSE)</f>
        <v>0.752</v>
      </c>
      <c r="E20" s="21">
        <f>E19*(1+Assumptions!$F$34)</f>
        <v>1156309.1789693097</v>
      </c>
      <c r="F20" s="21">
        <f t="shared" si="2"/>
        <v>869544.50258492085</v>
      </c>
      <c r="G20" s="21">
        <f>IF(A20&lt;=Assumptions!$C$26,PV('Scenario Tables'!F$27/12,(Assumptions!$C$26-A20)*12,-$C$11),0)</f>
        <v>516232.03132157621</v>
      </c>
      <c r="H20" s="21">
        <f t="shared" si="3"/>
        <v>353312.47126334463</v>
      </c>
      <c r="I20" s="21">
        <f>IF(A20&lt;=Assumptions!$C$26,G19*'Scenario Tables'!F$27,0)</f>
        <v>13798.43793008377</v>
      </c>
      <c r="J20" s="21">
        <f>IF(A20&lt;=Assumptions!$C$26,$C$12-I20,0)</f>
        <v>14305.409819769293</v>
      </c>
      <c r="K20" s="21">
        <f>IF(Assumptions!$C$39="Investment",Assumptions!$F$35*12*(1+Assumptions!$F$36)^(A20-1)*(1-Assumptions!$C$40),Assumptions!$F$35*12*(1+Assumptions!$F$36)^(A20-1))</f>
        <v>58451.336640000001</v>
      </c>
      <c r="L20" s="21">
        <f>IF(Assumptions!$C$39="Investment",_xlfn.LET(_xlpm.gr,Assumptions!$F$35*12*(1+Assumptions!$F$36)^(A20-1),Assumptions!$F$37*(1+Assumptions!$F$36)^(A20-1)+MIN(_xlpm.gr,30000)*0.12+MAX(0,MIN(_xlpm.gr,45000)-30000)*0.2+MAX(0,MIN(_xlpm.gr,60000)-45000)*0.28+MAX(0,_xlpm.gr-60000)*0.36+K20*Assumptions!$C$41),Assumptions!$F$37*(1+Assumptions!$F$36)^(A20-1)+MAX(0,MIN(K20,25000)-12000)*0.04+MAX(0,MIN(K20,38000)-25000)*0.06+MAX(0,MIN(K20,50000)-38000)*0.08+MAX(0,MIN(K20,65000)-50000)*0.1+MAX(0,MIN(K20,80000)-65000)*0.12+MAX(0,MIN(K20,95000)-80000)*0.14+MAX(0,MIN(K20,110000)-95000)*0.16+MAX(0,K20-110000)*0.23)</f>
        <v>4404.0522559999999</v>
      </c>
      <c r="M20" s="21">
        <f>IF(Assumptions!$C$39="Investment",(K20-I20-L20)*(1-Assumptions!$C$42),K20-I20-L20)</f>
        <v>40248.846453916231</v>
      </c>
      <c r="N20" s="21">
        <f t="shared" si="4"/>
        <v>187804.59137459091</v>
      </c>
      <c r="O20" s="31">
        <f t="shared" si="5"/>
        <v>0.5900651271977706</v>
      </c>
      <c r="P20" s="21">
        <f>Assumptions!$C$8*(1+Assumptions!$C$9)^A20-Assumptions!$C$8+$C$7*((1+Assumptions!$C$9)^A20-1)</f>
        <v>39422.463867187391</v>
      </c>
      <c r="Q20" s="21">
        <f t="shared" si="6"/>
        <v>313890.00739615725</v>
      </c>
      <c r="R20" s="21">
        <f>N20/(1+Assumptions!$C$43)^A20</f>
        <v>165991.89331918553</v>
      </c>
      <c r="S20">
        <f>((H20/$C$10)^(1/A20))/(1+Assumptions!$C$43)-1</f>
        <v>7.043208272025403E-2</v>
      </c>
    </row>
    <row r="21" spans="1:19" x14ac:dyDescent="0.2">
      <c r="A21" s="30">
        <f t="shared" si="0"/>
        <v>6</v>
      </c>
      <c r="B21" s="30">
        <f t="shared" si="0"/>
        <v>38</v>
      </c>
      <c r="C21" s="30">
        <f t="shared" si="1"/>
        <v>72</v>
      </c>
      <c r="D21" s="31">
        <f>VLOOKUP(C21,'Bala Table'!$A:$B,2,FALSE)</f>
        <v>0.746</v>
      </c>
      <c r="E21" s="21">
        <f>E20*(1+Assumptions!$F$34)</f>
        <v>1190998.454338389</v>
      </c>
      <c r="F21" s="21">
        <f t="shared" si="2"/>
        <v>888484.84693643823</v>
      </c>
      <c r="G21" s="21">
        <f>IF(A21&lt;=Assumptions!$C$26,PV('Scenario Tables'!F$27/12,(Assumptions!$C$26-A21)*12,-$C$11),0)</f>
        <v>501373.98832235398</v>
      </c>
      <c r="H21" s="21">
        <f t="shared" si="3"/>
        <v>387110.85861408425</v>
      </c>
      <c r="I21" s="21">
        <f>IF(A21&lt;=Assumptions!$C$26,G20*'Scenario Tables'!F$27,0)</f>
        <v>13422.03281436098</v>
      </c>
      <c r="J21" s="21">
        <f>IF(A21&lt;=Assumptions!$C$26,$C$12-I21,0)</f>
        <v>14681.814935492082</v>
      </c>
      <c r="K21" s="21">
        <f>IF(Assumptions!$C$39="Investment",Assumptions!$F$35*12*(1+Assumptions!$F$36)^(A21-1)*(1-Assumptions!$C$40),Assumptions!$F$35*12*(1+Assumptions!$F$36)^(A21-1))</f>
        <v>59620.363372799999</v>
      </c>
      <c r="L21" s="21">
        <f>IF(Assumptions!$C$39="Investment",_xlfn.LET(_xlpm.gr,Assumptions!$F$35*12*(1+Assumptions!$F$36)^(A21-1),Assumptions!$F$37*(1+Assumptions!$F$36)^(A21-1)+MIN(_xlpm.gr,30000)*0.12+MAX(0,MIN(_xlpm.gr,45000)-30000)*0.2+MAX(0,MIN(_xlpm.gr,60000)-45000)*0.28+MAX(0,_xlpm.gr-60000)*0.36+K21*Assumptions!$C$41),Assumptions!$F$37*(1+Assumptions!$F$36)^(A21-1)+MAX(0,MIN(K21,25000)-12000)*0.04+MAX(0,MIN(K21,38000)-25000)*0.06+MAX(0,MIN(K21,50000)-38000)*0.08+MAX(0,MIN(K21,65000)-50000)*0.1+MAX(0,MIN(K21,80000)-65000)*0.12+MAX(0,MIN(K21,95000)-80000)*0.14+MAX(0,MIN(K21,110000)-95000)*0.16+MAX(0,K21-110000)*0.23)</f>
        <v>4546.9333011200006</v>
      </c>
      <c r="M21" s="21">
        <f>IF(Assumptions!$C$39="Investment",(K21-I21-L21)*(1-Assumptions!$C$42),K21-I21-L21)</f>
        <v>41651.397257319019</v>
      </c>
      <c r="N21" s="21">
        <f t="shared" si="4"/>
        <v>229455.98863190992</v>
      </c>
      <c r="O21" s="31">
        <f t="shared" si="5"/>
        <v>0.74217308107148627</v>
      </c>
      <c r="P21" s="21">
        <f>Assumptions!$C$8*(1+Assumptions!$C$9)^A21-Assumptions!$C$8+$C$7*((1+Assumptions!$C$9)^A21-1)</f>
        <v>47908.025463867059</v>
      </c>
      <c r="Q21" s="21">
        <f t="shared" si="6"/>
        <v>339202.83315021719</v>
      </c>
      <c r="R21" s="21">
        <f>N21/(1+Assumptions!$C$43)^A21</f>
        <v>197859.17987316509</v>
      </c>
      <c r="S21">
        <f>((H21/$C$10)^(1/A21))/(1+Assumptions!$C$43)-1</f>
        <v>7.0182925854683553E-2</v>
      </c>
    </row>
    <row r="22" spans="1:19" x14ac:dyDescent="0.2">
      <c r="A22" s="30">
        <f t="shared" si="0"/>
        <v>7</v>
      </c>
      <c r="B22" s="30">
        <f t="shared" si="0"/>
        <v>39</v>
      </c>
      <c r="C22" s="30">
        <f t="shared" si="1"/>
        <v>71</v>
      </c>
      <c r="D22" s="31">
        <f>VLOOKUP(C22,'Bala Table'!$A:$B,2,FALSE)</f>
        <v>0.74</v>
      </c>
      <c r="E22" s="21">
        <f>E21*(1+Assumptions!$F$34)</f>
        <v>1226728.4079685407</v>
      </c>
      <c r="F22" s="21">
        <f t="shared" si="2"/>
        <v>907779.02189672005</v>
      </c>
      <c r="G22" s="21">
        <f>IF(A22&lt;=Assumptions!$C$26,PV('Scenario Tables'!F$27/12,(Assumptions!$C$26-A22)*12,-$C$11),0)</f>
        <v>486124.99927789427</v>
      </c>
      <c r="H22" s="21">
        <f t="shared" si="3"/>
        <v>421654.02261882578</v>
      </c>
      <c r="I22" s="21">
        <f>IF(A22&lt;=Assumptions!$C$26,G21*'Scenario Tables'!F$27,0)</f>
        <v>13035.723696381203</v>
      </c>
      <c r="J22" s="21">
        <f>IF(A22&lt;=Assumptions!$C$26,$C$12-I22,0)</f>
        <v>15068.12405347186</v>
      </c>
      <c r="K22" s="21">
        <f>IF(Assumptions!$C$39="Investment",Assumptions!$F$35*12*(1+Assumptions!$F$36)^(A22-1)*(1-Assumptions!$C$40),Assumptions!$F$35*12*(1+Assumptions!$F$36)^(A22-1))</f>
        <v>60812.770640256007</v>
      </c>
      <c r="L22" s="21">
        <f>IF(Assumptions!$C$39="Investment",_xlfn.LET(_xlpm.gr,Assumptions!$F$35*12*(1+Assumptions!$F$36)^(A22-1),Assumptions!$F$37*(1+Assumptions!$F$36)^(A22-1)+MIN(_xlpm.gr,30000)*0.12+MAX(0,MIN(_xlpm.gr,45000)-30000)*0.2+MAX(0,MIN(_xlpm.gr,60000)-45000)*0.28+MAX(0,_xlpm.gr-60000)*0.36+K22*Assumptions!$C$41),Assumptions!$F$37*(1+Assumptions!$F$36)^(A22-1)+MAX(0,MIN(K22,25000)-12000)*0.04+MAX(0,MIN(K22,38000)-25000)*0.06+MAX(0,MIN(K22,50000)-38000)*0.08+MAX(0,MIN(K22,65000)-50000)*0.1+MAX(0,MIN(K22,80000)-65000)*0.12+MAX(0,MIN(K22,95000)-80000)*0.14+MAX(0,MIN(K22,110000)-95000)*0.16+MAX(0,K22-110000)*0.23)</f>
        <v>4692.6719671424016</v>
      </c>
      <c r="M22" s="21">
        <f>IF(Assumptions!$C$39="Investment",(K22-I22-L22)*(1-Assumptions!$C$42),K22-I22-L22)</f>
        <v>43084.374976732404</v>
      </c>
      <c r="N22" s="21">
        <f t="shared" si="4"/>
        <v>272540.36360864231</v>
      </c>
      <c r="O22" s="31">
        <f t="shared" si="5"/>
        <v>0.89763286507122308</v>
      </c>
      <c r="P22" s="21">
        <f>Assumptions!$C$8*(1+Assumptions!$C$9)^A22-Assumptions!$C$8+$C$7*((1+Assumptions!$C$9)^A22-1)</f>
        <v>56605.726100463755</v>
      </c>
      <c r="Q22" s="21">
        <f t="shared" si="6"/>
        <v>365048.29651836201</v>
      </c>
      <c r="R22" s="21">
        <f>N22/(1+Assumptions!$C$43)^A22</f>
        <v>229278.733060945</v>
      </c>
      <c r="S22">
        <f>((H22/$C$10)^(1/A22))/(1+Assumptions!$C$43)-1</f>
        <v>6.91059181813789E-2</v>
      </c>
    </row>
    <row r="23" spans="1:19" x14ac:dyDescent="0.2">
      <c r="A23" s="30">
        <f t="shared" si="0"/>
        <v>8</v>
      </c>
      <c r="B23" s="30">
        <f t="shared" si="0"/>
        <v>40</v>
      </c>
      <c r="C23" s="30">
        <f t="shared" si="1"/>
        <v>70</v>
      </c>
      <c r="D23" s="31">
        <f>VLOOKUP(C23,'Bala Table'!$A:$B,2,FALSE)</f>
        <v>0.73399999999999999</v>
      </c>
      <c r="E23" s="21">
        <f>E22*(1+Assumptions!$F$34)</f>
        <v>1263530.2602075969</v>
      </c>
      <c r="F23" s="21">
        <f t="shared" si="2"/>
        <v>927431.21099237609</v>
      </c>
      <c r="G23" s="21">
        <f>IF(A23&lt;=Assumptions!$C$26,PV('Scenario Tables'!F$27/12,(Assumptions!$C$26-A23)*12,-$C$11),0)</f>
        <v>470474.77758381126</v>
      </c>
      <c r="H23" s="21">
        <f t="shared" si="3"/>
        <v>456956.43340856483</v>
      </c>
      <c r="I23" s="21">
        <f>IF(A23&lt;=Assumptions!$C$26,G22*'Scenario Tables'!F$27,0)</f>
        <v>12639.24998122525</v>
      </c>
      <c r="J23" s="21">
        <f>IF(A23&lt;=Assumptions!$C$26,$C$12-I23,0)</f>
        <v>15464.597768627813</v>
      </c>
      <c r="K23" s="21">
        <f>IF(Assumptions!$C$39="Investment",Assumptions!$F$35*12*(1+Assumptions!$F$36)^(A23-1)*(1-Assumptions!$C$40),Assumptions!$F$35*12*(1+Assumptions!$F$36)^(A23-1))</f>
        <v>62029.026053061112</v>
      </c>
      <c r="L23" s="21">
        <f>IF(Assumptions!$C$39="Investment",_xlfn.LET(_xlpm.gr,Assumptions!$F$35*12*(1+Assumptions!$F$36)^(A23-1),Assumptions!$F$37*(1+Assumptions!$F$36)^(A23-1)+MIN(_xlpm.gr,30000)*0.12+MAX(0,MIN(_xlpm.gr,45000)-30000)*0.2+MAX(0,MIN(_xlpm.gr,60000)-45000)*0.28+MAX(0,_xlpm.gr-60000)*0.36+K23*Assumptions!$C$41),Assumptions!$F$37*(1+Assumptions!$F$36)^(A23-1)+MAX(0,MIN(K23,25000)-12000)*0.04+MAX(0,MIN(K23,38000)-25000)*0.06+MAX(0,MIN(K23,50000)-38000)*0.08+MAX(0,MIN(K23,65000)-50000)*0.1+MAX(0,MIN(K23,80000)-65000)*0.12+MAX(0,MIN(K23,95000)-80000)*0.14+MAX(0,MIN(K23,110000)-95000)*0.16+MAX(0,K23-110000)*0.23)</f>
        <v>4841.3254064852472</v>
      </c>
      <c r="M23" s="21">
        <f>IF(Assumptions!$C$39="Investment",(K23-I23-L23)*(1-Assumptions!$C$42),K23-I23-L23)</f>
        <v>44548.450665350618</v>
      </c>
      <c r="N23" s="21">
        <f t="shared" si="4"/>
        <v>317088.8142739929</v>
      </c>
      <c r="O23" s="31">
        <f t="shared" si="5"/>
        <v>1.0565096012986717</v>
      </c>
      <c r="P23" s="21">
        <f>Assumptions!$C$8*(1+Assumptions!$C$9)^A23-Assumptions!$C$8+$C$7*((1+Assumptions!$C$9)^A23-1)</f>
        <v>65520.869252975317</v>
      </c>
      <c r="Q23" s="21">
        <f t="shared" si="6"/>
        <v>391435.5641555895</v>
      </c>
      <c r="R23" s="21">
        <f>N23/(1+Assumptions!$C$43)^A23</f>
        <v>260249.55695856907</v>
      </c>
      <c r="S23">
        <f>((H23/$C$10)^(1/A23))/(1+Assumptions!$C$43)-1</f>
        <v>6.7621908487838667E-2</v>
      </c>
    </row>
    <row r="24" spans="1:19" x14ac:dyDescent="0.2">
      <c r="A24" s="30">
        <f t="shared" si="0"/>
        <v>9</v>
      </c>
      <c r="B24" s="30">
        <f t="shared" si="0"/>
        <v>41</v>
      </c>
      <c r="C24" s="30">
        <f t="shared" si="1"/>
        <v>69</v>
      </c>
      <c r="D24" s="31">
        <f>VLOOKUP(C24,'Bala Table'!$A:$B,2,FALSE)</f>
        <v>0.72699999999999998</v>
      </c>
      <c r="E24" s="21">
        <f>E23*(1+Assumptions!$F$34)</f>
        <v>1301436.1680138248</v>
      </c>
      <c r="F24" s="21">
        <f t="shared" si="2"/>
        <v>946144.09414605063</v>
      </c>
      <c r="G24" s="21">
        <f>IF(A24&lt;=Assumptions!$C$26,PV('Scenario Tables'!F$27/12,(Assumptions!$C$26-A24)*12,-$C$11),0)</f>
        <v>454412.76597374066</v>
      </c>
      <c r="H24" s="21">
        <f t="shared" si="3"/>
        <v>491731.32817230996</v>
      </c>
      <c r="I24" s="21">
        <f>IF(A24&lt;=Assumptions!$C$26,G23*'Scenario Tables'!F$27,0)</f>
        <v>12232.344217179092</v>
      </c>
      <c r="J24" s="21">
        <f>IF(A24&lt;=Assumptions!$C$26,$C$12-I24,0)</f>
        <v>15871.503532673971</v>
      </c>
      <c r="K24" s="21">
        <f>IF(Assumptions!$C$39="Investment",Assumptions!$F$35*12*(1+Assumptions!$F$36)^(A24-1)*(1-Assumptions!$C$40),Assumptions!$F$35*12*(1+Assumptions!$F$36)^(A24-1))</f>
        <v>63269.606574122336</v>
      </c>
      <c r="L24" s="21">
        <f>IF(Assumptions!$C$39="Investment",_xlfn.LET(_xlpm.gr,Assumptions!$F$35*12*(1+Assumptions!$F$36)^(A24-1),Assumptions!$F$37*(1+Assumptions!$F$36)^(A24-1)+MIN(_xlpm.gr,30000)*0.12+MAX(0,MIN(_xlpm.gr,45000)-30000)*0.2+MAX(0,MIN(_xlpm.gr,60000)-45000)*0.28+MAX(0,_xlpm.gr-60000)*0.36+K24*Assumptions!$C$41),Assumptions!$F$37*(1+Assumptions!$F$36)^(A24-1)+MAX(0,MIN(K24,25000)-12000)*0.04+MAX(0,MIN(K24,38000)-25000)*0.06+MAX(0,MIN(K24,50000)-38000)*0.08+MAX(0,MIN(K24,65000)-50000)*0.1+MAX(0,MIN(K24,80000)-65000)*0.12+MAX(0,MIN(K24,95000)-80000)*0.14+MAX(0,MIN(K24,110000)-95000)*0.16+MAX(0,K24-110000)*0.23)</f>
        <v>4992.9519146149523</v>
      </c>
      <c r="M24" s="21">
        <f>IF(Assumptions!$C$39="Investment",(K24-I24-L24)*(1-Assumptions!$C$42),K24-I24-L24)</f>
        <v>46044.310442328293</v>
      </c>
      <c r="N24" s="21">
        <f t="shared" si="4"/>
        <v>363133.12471632118</v>
      </c>
      <c r="O24" s="31">
        <f t="shared" si="5"/>
        <v>1.2130122780031951</v>
      </c>
      <c r="P24" s="21">
        <f>Assumptions!$C$8*(1+Assumptions!$C$9)^A24-Assumptions!$C$8+$C$7*((1+Assumptions!$C$9)^A24-1)</f>
        <v>74658.890984299651</v>
      </c>
      <c r="Q24" s="21">
        <f t="shared" si="6"/>
        <v>417072.43718801031</v>
      </c>
      <c r="R24" s="21">
        <f>N24/(1+Assumptions!$C$43)^A24</f>
        <v>290770.99205811071</v>
      </c>
      <c r="S24">
        <f>((H24/$C$10)^(1/A24))/(1+Assumptions!$C$43)-1</f>
        <v>6.5633023293536263E-2</v>
      </c>
    </row>
    <row r="25" spans="1:19" x14ac:dyDescent="0.2">
      <c r="A25" s="30">
        <f t="shared" si="0"/>
        <v>10</v>
      </c>
      <c r="B25" s="30">
        <f t="shared" si="0"/>
        <v>42</v>
      </c>
      <c r="C25" s="30">
        <f t="shared" si="1"/>
        <v>68</v>
      </c>
      <c r="D25" s="31">
        <f>VLOOKUP(C25,'Bala Table'!$A:$B,2,FALSE)</f>
        <v>0.72</v>
      </c>
      <c r="E25" s="21">
        <f>E24*(1+Assumptions!$F$34)</f>
        <v>1340479.2530542396</v>
      </c>
      <c r="F25" s="21">
        <f t="shared" si="2"/>
        <v>965145.06219905242</v>
      </c>
      <c r="G25" s="21">
        <f>IF(A25&lt;=Assumptions!$C$26,PV('Scenario Tables'!F$27/12,(Assumptions!$C$26-A25)*12,-$C$11),0)</f>
        <v>437928.12939766113</v>
      </c>
      <c r="H25" s="21">
        <f t="shared" si="3"/>
        <v>527216.93280139123</v>
      </c>
      <c r="I25" s="21">
        <f>IF(A25&lt;=Assumptions!$C$26,G24*'Scenario Tables'!F$27,0)</f>
        <v>11814.731915317258</v>
      </c>
      <c r="J25" s="21">
        <f>IF(A25&lt;=Assumptions!$C$26,$C$12-I25,0)</f>
        <v>16289.115834535805</v>
      </c>
      <c r="K25" s="21">
        <f>IF(Assumptions!$C$39="Investment",Assumptions!$F$35*12*(1+Assumptions!$F$36)^(A25-1)*(1-Assumptions!$C$40),Assumptions!$F$35*12*(1+Assumptions!$F$36)^(A25-1))</f>
        <v>64534.998705604783</v>
      </c>
      <c r="L25" s="21">
        <f>IF(Assumptions!$C$39="Investment",_xlfn.LET(_xlpm.gr,Assumptions!$F$35*12*(1+Assumptions!$F$36)^(A25-1),Assumptions!$F$37*(1+Assumptions!$F$36)^(A25-1)+MIN(_xlpm.gr,30000)*0.12+MAX(0,MIN(_xlpm.gr,45000)-30000)*0.2+MAX(0,MIN(_xlpm.gr,60000)-45000)*0.28+MAX(0,_xlpm.gr-60000)*0.36+K25*Assumptions!$C$41),Assumptions!$F$37*(1+Assumptions!$F$36)^(A25-1)+MAX(0,MIN(K25,25000)-12000)*0.04+MAX(0,MIN(K25,38000)-25000)*0.06+MAX(0,MIN(K25,50000)-38000)*0.08+MAX(0,MIN(K25,65000)-50000)*0.1+MAX(0,MIN(K25,80000)-65000)*0.12+MAX(0,MIN(K25,95000)-80000)*0.14+MAX(0,MIN(K25,110000)-95000)*0.16+MAX(0,K25-110000)*0.23)</f>
        <v>5147.610952907251</v>
      </c>
      <c r="M25" s="21">
        <f>IF(Assumptions!$C$39="Investment",(K25-I25-L25)*(1-Assumptions!$C$42),K25-I25-L25)</f>
        <v>47572.655837380276</v>
      </c>
      <c r="N25" s="21">
        <f t="shared" si="4"/>
        <v>410705.78055370145</v>
      </c>
      <c r="O25" s="31">
        <f t="shared" si="5"/>
        <v>1.3727134689531559</v>
      </c>
      <c r="P25" s="21">
        <f>Assumptions!$C$8*(1+Assumptions!$C$9)^A25-Assumptions!$C$8+$C$7*((1+Assumptions!$C$9)^A25-1)</f>
        <v>84025.363258907106</v>
      </c>
      <c r="Q25" s="21">
        <f t="shared" si="6"/>
        <v>443191.56954248413</v>
      </c>
      <c r="R25" s="21">
        <f>N25/(1+Assumptions!$C$43)^A25</f>
        <v>320842.6993480688</v>
      </c>
      <c r="S25">
        <f>((H25/$C$10)^(1/A25))/(1+Assumptions!$C$43)-1</f>
        <v>6.365470172282528E-2</v>
      </c>
    </row>
    <row r="26" spans="1:19" x14ac:dyDescent="0.2">
      <c r="A26" s="30">
        <f t="shared" si="0"/>
        <v>11</v>
      </c>
      <c r="B26" s="30">
        <f t="shared" si="0"/>
        <v>43</v>
      </c>
      <c r="C26" s="30">
        <f t="shared" si="1"/>
        <v>67</v>
      </c>
      <c r="D26" s="31">
        <f>VLOOKUP(C26,'Bala Table'!$A:$B,2,FALSE)</f>
        <v>0.71299999999999997</v>
      </c>
      <c r="E26" s="21">
        <f>E25*(1+Assumptions!$F$34)</f>
        <v>1380693.6306458667</v>
      </c>
      <c r="F26" s="21">
        <f t="shared" si="2"/>
        <v>984434.55865050294</v>
      </c>
      <c r="G26" s="21">
        <f>IF(A26&lt;=Assumptions!$C$26,PV('Scenario Tables'!F$27/12,(Assumptions!$C$26-A26)*12,-$C$11),0)</f>
        <v>421009.74771282566</v>
      </c>
      <c r="H26" s="21">
        <f t="shared" si="3"/>
        <v>563424.81093767728</v>
      </c>
      <c r="I26" s="21">
        <f>IF(A26&lt;=Assumptions!$C$26,G25*'Scenario Tables'!F$27,0)</f>
        <v>11386.13136433919</v>
      </c>
      <c r="J26" s="21">
        <f>IF(A26&lt;=Assumptions!$C$26,$C$12-I26,0)</f>
        <v>16717.716385513872</v>
      </c>
      <c r="K26" s="21">
        <f>IF(Assumptions!$C$39="Investment",Assumptions!$F$35*12*(1+Assumptions!$F$36)^(A26-1)*(1-Assumptions!$C$40),Assumptions!$F$35*12*(1+Assumptions!$F$36)^(A26-1))</f>
        <v>65825.698679716879</v>
      </c>
      <c r="L26" s="21">
        <f>IF(Assumptions!$C$39="Investment",_xlfn.LET(_xlpm.gr,Assumptions!$F$35*12*(1+Assumptions!$F$36)^(A26-1),Assumptions!$F$37*(1+Assumptions!$F$36)^(A26-1)+MIN(_xlpm.gr,30000)*0.12+MAX(0,MIN(_xlpm.gr,45000)-30000)*0.2+MAX(0,MIN(_xlpm.gr,60000)-45000)*0.28+MAX(0,_xlpm.gr-60000)*0.36+K26*Assumptions!$C$41),Assumptions!$F$37*(1+Assumptions!$F$36)^(A26-1)+MAX(0,MIN(K26,25000)-12000)*0.04+MAX(0,MIN(K26,38000)-25000)*0.06+MAX(0,MIN(K26,50000)-38000)*0.08+MAX(0,MIN(K26,65000)-50000)*0.1+MAX(0,MIN(K26,80000)-65000)*0.12+MAX(0,MIN(K26,95000)-80000)*0.14+MAX(0,MIN(K26,110000)-95000)*0.16+MAX(0,K26-110000)*0.23)</f>
        <v>5321.8771455597343</v>
      </c>
      <c r="M26" s="21">
        <f>IF(Assumptions!$C$39="Investment",(K26-I26-L26)*(1-Assumptions!$C$42),K26-I26-L26)</f>
        <v>49117.690169817957</v>
      </c>
      <c r="N26" s="21">
        <f t="shared" si="4"/>
        <v>459823.47072351939</v>
      </c>
      <c r="O26" s="31">
        <f t="shared" si="5"/>
        <v>1.5356652157411219</v>
      </c>
      <c r="P26" s="21">
        <f>Assumptions!$C$8*(1+Assumptions!$C$9)^A26-Assumptions!$C$8+$C$7*((1+Assumptions!$C$9)^A26-1)</f>
        <v>93625.997340379807</v>
      </c>
      <c r="Q26" s="21">
        <f t="shared" si="6"/>
        <v>469798.81359729747</v>
      </c>
      <c r="R26" s="21">
        <f>N26/(1+Assumptions!$C$43)^A26</f>
        <v>350452.05893189268</v>
      </c>
      <c r="S26">
        <f>((H26/$C$10)^(1/A26))/(1+Assumptions!$C$43)-1</f>
        <v>6.1724314099729449E-2</v>
      </c>
    </row>
    <row r="27" spans="1:19" x14ac:dyDescent="0.2">
      <c r="A27" s="30">
        <f t="shared" si="0"/>
        <v>12</v>
      </c>
      <c r="B27" s="30">
        <f t="shared" si="0"/>
        <v>44</v>
      </c>
      <c r="C27" s="30">
        <f t="shared" si="1"/>
        <v>66</v>
      </c>
      <c r="D27" s="31">
        <f>VLOOKUP(C27,'Bala Table'!$A:$B,2,FALSE)</f>
        <v>0.70599999999999996</v>
      </c>
      <c r="E27" s="21">
        <f>E26*(1+Assumptions!$F$34)</f>
        <v>1422114.4395652427</v>
      </c>
      <c r="F27" s="21">
        <f t="shared" si="2"/>
        <v>1004012.7943330613</v>
      </c>
      <c r="G27" s="21">
        <f>IF(A27&lt;=Assumptions!$C$26,PV('Scenario Tables'!F$27/12,(Assumptions!$C$26-A27)*12,-$C$11),0)</f>
        <v>403646.20818238152</v>
      </c>
      <c r="H27" s="21">
        <f t="shared" si="3"/>
        <v>600366.58615067974</v>
      </c>
      <c r="I27" s="21">
        <f>IF(A27&lt;=Assumptions!$C$26,G26*'Scenario Tables'!F$27,0)</f>
        <v>10946.253440533466</v>
      </c>
      <c r="J27" s="21">
        <f>IF(A27&lt;=Assumptions!$C$26,$C$12-I27,0)</f>
        <v>17157.594309319597</v>
      </c>
      <c r="K27" s="21">
        <f>IF(Assumptions!$C$39="Investment",Assumptions!$F$35*12*(1+Assumptions!$F$36)^(A27-1)*(1-Assumptions!$C$40),Assumptions!$F$35*12*(1+Assumptions!$F$36)^(A27-1))</f>
        <v>67142.212653311202</v>
      </c>
      <c r="L27" s="21">
        <f>IF(Assumptions!$C$39="Investment",_xlfn.LET(_xlpm.gr,Assumptions!$F$35*12*(1+Assumptions!$F$36)^(A27-1),Assumptions!$F$37*(1+Assumptions!$F$36)^(A27-1)+MIN(_xlpm.gr,30000)*0.12+MAX(0,MIN(_xlpm.gr,45000)-30000)*0.2+MAX(0,MIN(_xlpm.gr,60000)-45000)*0.28+MAX(0,_xlpm.gr-60000)*0.36+K27*Assumptions!$C$41),Assumptions!$F$37*(1+Assumptions!$F$36)^(A27-1)+MAX(0,MIN(K27,25000)-12000)*0.04+MAX(0,MIN(K27,38000)-25000)*0.06+MAX(0,MIN(K27,50000)-38000)*0.08+MAX(0,MIN(K27,65000)-50000)*0.1+MAX(0,MIN(K27,80000)-65000)*0.12+MAX(0,MIN(K27,95000)-80000)*0.14+MAX(0,MIN(K27,110000)-95000)*0.16+MAX(0,K27-110000)*0.23)</f>
        <v>5509.114688470926</v>
      </c>
      <c r="M27" s="21">
        <f>IF(Assumptions!$C$39="Investment",(K27-I27-L27)*(1-Assumptions!$C$42),K27-I27-L27)</f>
        <v>50686.844524306813</v>
      </c>
      <c r="N27" s="21">
        <f t="shared" si="4"/>
        <v>510510.31524782622</v>
      </c>
      <c r="O27" s="31">
        <f t="shared" si="5"/>
        <v>1.701919829661025</v>
      </c>
      <c r="P27" s="21">
        <f>Assumptions!$C$8*(1+Assumptions!$C$9)^A27-Assumptions!$C$8+$C$7*((1+Assumptions!$C$9)^A27-1)</f>
        <v>103466.64727388928</v>
      </c>
      <c r="Q27" s="21">
        <f t="shared" si="6"/>
        <v>496899.93887679046</v>
      </c>
      <c r="R27" s="21">
        <f>N27/(1+Assumptions!$C$43)^A27</f>
        <v>379592.94927885686</v>
      </c>
      <c r="S27">
        <f>((H27/$C$10)^(1/A27))/(1+Assumptions!$C$43)-1</f>
        <v>5.9860824051982231E-2</v>
      </c>
    </row>
    <row r="28" spans="1:19" x14ac:dyDescent="0.2">
      <c r="A28" s="30">
        <f t="shared" si="0"/>
        <v>13</v>
      </c>
      <c r="B28" s="30">
        <f t="shared" si="0"/>
        <v>45</v>
      </c>
      <c r="C28" s="30">
        <f t="shared" si="1"/>
        <v>65</v>
      </c>
      <c r="D28" s="31">
        <f>VLOOKUP(C28,'Bala Table'!$A:$B,2,FALSE)</f>
        <v>0.69899999999999995</v>
      </c>
      <c r="E28" s="21">
        <f>E27*(1+Assumptions!$F$34)</f>
        <v>1464777.8727522001</v>
      </c>
      <c r="F28" s="21">
        <f t="shared" si="2"/>
        <v>1023879.7330537878</v>
      </c>
      <c r="G28" s="21">
        <f>IF(A28&lt;=Assumptions!$C$26,PV('Scenario Tables'!F$27/12,(Assumptions!$C$26-A28)*12,-$C$11),0)</f>
        <v>385825.79777660692</v>
      </c>
      <c r="H28" s="21">
        <f t="shared" si="3"/>
        <v>638053.93527718098</v>
      </c>
      <c r="I28" s="21">
        <f>IF(A28&lt;=Assumptions!$C$26,G27*'Scenario Tables'!F$27,0)</f>
        <v>10494.801412741919</v>
      </c>
      <c r="J28" s="21">
        <f>IF(A28&lt;=Assumptions!$C$26,$C$12-I28,0)</f>
        <v>17609.046337111144</v>
      </c>
      <c r="K28" s="21">
        <f>IF(Assumptions!$C$39="Investment",Assumptions!$F$35*12*(1+Assumptions!$F$36)^(A28-1)*(1-Assumptions!$C$40),Assumptions!$F$35*12*(1+Assumptions!$F$36)^(A28-1))</f>
        <v>68485.056906377446</v>
      </c>
      <c r="L28" s="21">
        <f>IF(Assumptions!$C$39="Investment",_xlfn.LET(_xlpm.gr,Assumptions!$F$35*12*(1+Assumptions!$F$36)^(A28-1),Assumptions!$F$37*(1+Assumptions!$F$36)^(A28-1)+MIN(_xlpm.gr,30000)*0.12+MAX(0,MIN(_xlpm.gr,45000)-30000)*0.2+MAX(0,MIN(_xlpm.gr,60000)-45000)*0.28+MAX(0,_xlpm.gr-60000)*0.36+K28*Assumptions!$C$41),Assumptions!$F$37*(1+Assumptions!$F$36)^(A28-1)+MAX(0,MIN(K28,25000)-12000)*0.04+MAX(0,MIN(K28,38000)-25000)*0.06+MAX(0,MIN(K28,50000)-38000)*0.08+MAX(0,MIN(K28,65000)-50000)*0.1+MAX(0,MIN(K28,80000)-65000)*0.12+MAX(0,MIN(K28,95000)-80000)*0.14+MAX(0,MIN(K28,110000)-95000)*0.16+MAX(0,K28-110000)*0.23)</f>
        <v>5700.0969822403486</v>
      </c>
      <c r="M28" s="21">
        <f>IF(Assumptions!$C$39="Investment",(K28-I28-L28)*(1-Assumptions!$C$42),K28-I28-L28)</f>
        <v>52290.158511395181</v>
      </c>
      <c r="N28" s="21">
        <f t="shared" si="4"/>
        <v>562800.47375922138</v>
      </c>
      <c r="O28" s="31">
        <f t="shared" si="5"/>
        <v>1.8715298617334877</v>
      </c>
      <c r="P28" s="21">
        <f>Assumptions!$C$8*(1+Assumptions!$C$9)^A28-Assumptions!$C$8+$C$7*((1+Assumptions!$C$9)^A28-1)</f>
        <v>113553.31345573648</v>
      </c>
      <c r="Q28" s="21">
        <f t="shared" si="6"/>
        <v>524500.62182144448</v>
      </c>
      <c r="R28" s="21">
        <f>N28/(1+Assumptions!$C$43)^A28</f>
        <v>408266.93109264073</v>
      </c>
      <c r="S28">
        <f>((H28/$C$10)^(1/A28))/(1+Assumptions!$C$43)-1</f>
        <v>5.8072975403217431E-2</v>
      </c>
    </row>
    <row r="29" spans="1:19" x14ac:dyDescent="0.2">
      <c r="A29" s="30">
        <f t="shared" si="0"/>
        <v>14</v>
      </c>
      <c r="B29" s="30">
        <f t="shared" si="0"/>
        <v>46</v>
      </c>
      <c r="C29" s="30">
        <f t="shared" si="1"/>
        <v>64</v>
      </c>
      <c r="D29" s="31">
        <f>VLOOKUP(C29,'Bala Table'!$A:$B,2,FALSE)</f>
        <v>0.69199999999999995</v>
      </c>
      <c r="E29" s="21">
        <f>E28*(1+Assumptions!$F$34)</f>
        <v>1508721.2089347662</v>
      </c>
      <c r="F29" s="21">
        <f t="shared" si="2"/>
        <v>1044035.0765828581</v>
      </c>
      <c r="G29" s="21">
        <f>IF(A29&lt;=Assumptions!$C$26,PV('Scenario Tables'!F$27/12,(Assumptions!$C$26-A29)*12,-$C$11),0)</f>
        <v>367536.49527158332</v>
      </c>
      <c r="H29" s="21">
        <f t="shared" si="3"/>
        <v>676498.58131127479</v>
      </c>
      <c r="I29" s="21">
        <f>IF(A29&lt;=Assumptions!$C$26,G28*'Scenario Tables'!F$27,0)</f>
        <v>10031.470742191779</v>
      </c>
      <c r="J29" s="21">
        <f>IF(A29&lt;=Assumptions!$C$26,$C$12-I29,0)</f>
        <v>18072.377007661285</v>
      </c>
      <c r="K29" s="21">
        <f>IF(Assumptions!$C$39="Investment",Assumptions!$F$35*12*(1+Assumptions!$F$36)^(A29-1)*(1-Assumptions!$C$40),Assumptions!$F$35*12*(1+Assumptions!$F$36)^(A29-1))</f>
        <v>69854.758044504983</v>
      </c>
      <c r="L29" s="21">
        <f>IF(Assumptions!$C$39="Investment",_xlfn.LET(_xlpm.gr,Assumptions!$F$35*12*(1+Assumptions!$F$36)^(A29-1),Assumptions!$F$37*(1+Assumptions!$F$36)^(A29-1)+MIN(_xlpm.gr,30000)*0.12+MAX(0,MIN(_xlpm.gr,45000)-30000)*0.2+MAX(0,MIN(_xlpm.gr,60000)-45000)*0.28+MAX(0,_xlpm.gr-60000)*0.36+K29*Assumptions!$C$41),Assumptions!$F$37*(1+Assumptions!$F$36)^(A29-1)+MAX(0,MIN(K29,25000)-12000)*0.04+MAX(0,MIN(K29,38000)-25000)*0.06+MAX(0,MIN(K29,50000)-38000)*0.08+MAX(0,MIN(K29,65000)-50000)*0.1+MAX(0,MIN(K29,80000)-65000)*0.12+MAX(0,MIN(K29,95000)-80000)*0.14+MAX(0,MIN(K29,110000)-95000)*0.16+MAX(0,K29-110000)*0.23)</f>
        <v>5894.898921885153</v>
      </c>
      <c r="M29" s="21">
        <f>IF(Assumptions!$C$39="Investment",(K29-I29-L29)*(1-Assumptions!$C$42),K29-I29-L29)</f>
        <v>53928.388380428049</v>
      </c>
      <c r="N29" s="21">
        <f t="shared" si="4"/>
        <v>616728.86213964946</v>
      </c>
      <c r="O29" s="31">
        <f t="shared" si="5"/>
        <v>2.0445480707078074</v>
      </c>
      <c r="P29" s="21">
        <f>Assumptions!$C$8*(1+Assumptions!$C$9)^A29-Assumptions!$C$8+$C$7*((1+Assumptions!$C$9)^A29-1)</f>
        <v>123892.14629212982</v>
      </c>
      <c r="Q29" s="21">
        <f t="shared" si="6"/>
        <v>552606.43501914502</v>
      </c>
      <c r="R29" s="21">
        <f>N29/(1+Assumptions!$C$43)^A29</f>
        <v>436475.78814632539</v>
      </c>
      <c r="S29">
        <f>((H29/$C$10)^(1/A29))/(1+Assumptions!$C$43)-1</f>
        <v>5.6363726628520183E-2</v>
      </c>
    </row>
    <row r="30" spans="1:19" x14ac:dyDescent="0.2">
      <c r="A30" s="30">
        <f t="shared" si="0"/>
        <v>15</v>
      </c>
      <c r="B30" s="30">
        <f t="shared" si="0"/>
        <v>47</v>
      </c>
      <c r="C30" s="30">
        <f t="shared" si="1"/>
        <v>63</v>
      </c>
      <c r="D30" s="31">
        <f>VLOOKUP(C30,'Bala Table'!$A:$B,2,FALSE)</f>
        <v>0.68500000000000005</v>
      </c>
      <c r="E30" s="21">
        <f>E29*(1+Assumptions!$F$34)</f>
        <v>1553982.8452028092</v>
      </c>
      <c r="F30" s="21">
        <f t="shared" si="2"/>
        <v>1064478.2489639244</v>
      </c>
      <c r="G30" s="21">
        <f>IF(A30&lt;=Assumptions!$C$26,PV('Scenario Tables'!F$27/12,(Assumptions!$C$26-A30)*12,-$C$11),0)</f>
        <v>348765.96313996211</v>
      </c>
      <c r="H30" s="21">
        <f t="shared" si="3"/>
        <v>715712.28582396219</v>
      </c>
      <c r="I30" s="21">
        <f>IF(A30&lt;=Assumptions!$C$26,G29*'Scenario Tables'!F$27,0)</f>
        <v>9555.9488770611661</v>
      </c>
      <c r="J30" s="21">
        <f>IF(A30&lt;=Assumptions!$C$26,$C$12-I30,0)</f>
        <v>18547.898872791899</v>
      </c>
      <c r="K30" s="21">
        <f>IF(Assumptions!$C$39="Investment",Assumptions!$F$35*12*(1+Assumptions!$F$36)^(A30-1)*(1-Assumptions!$C$40),Assumptions!$F$35*12*(1+Assumptions!$F$36)^(A30-1))</f>
        <v>71251.853205395091</v>
      </c>
      <c r="L30" s="21">
        <f>IF(Assumptions!$C$39="Investment",_xlfn.LET(_xlpm.gr,Assumptions!$F$35*12*(1+Assumptions!$F$36)^(A30-1),Assumptions!$F$37*(1+Assumptions!$F$36)^(A30-1)+MIN(_xlpm.gr,30000)*0.12+MAX(0,MIN(_xlpm.gr,45000)-30000)*0.2+MAX(0,MIN(_xlpm.gr,60000)-45000)*0.28+MAX(0,_xlpm.gr-60000)*0.36+K30*Assumptions!$C$41),Assumptions!$F$37*(1+Assumptions!$F$36)^(A30-1)+MAX(0,MIN(K30,25000)-12000)*0.04+MAX(0,MIN(K30,38000)-25000)*0.06+MAX(0,MIN(K30,50000)-38000)*0.08+MAX(0,MIN(K30,65000)-50000)*0.1+MAX(0,MIN(K30,80000)-65000)*0.12+MAX(0,MIN(K30,95000)-80000)*0.14+MAX(0,MIN(K30,110000)-95000)*0.16+MAX(0,K30-110000)*0.23)</f>
        <v>6093.5969003228574</v>
      </c>
      <c r="M30" s="21">
        <f>IF(Assumptions!$C$39="Investment",(K30-I30-L30)*(1-Assumptions!$C$42),K30-I30-L30)</f>
        <v>55602.307428011067</v>
      </c>
      <c r="N30" s="21">
        <f t="shared" si="4"/>
        <v>672331.16956766054</v>
      </c>
      <c r="O30" s="31">
        <f t="shared" si="5"/>
        <v>2.2210273889467245</v>
      </c>
      <c r="P30" s="21">
        <f>Assumptions!$C$8*(1+Assumptions!$C$9)^A30-Assumptions!$C$8+$C$7*((1+Assumptions!$C$9)^A30-1)</f>
        <v>134489.44994943315</v>
      </c>
      <c r="Q30" s="21">
        <f t="shared" si="6"/>
        <v>581222.83587452909</v>
      </c>
      <c r="R30" s="21">
        <f>N30/(1+Assumptions!$C$43)^A30</f>
        <v>464221.51537574129</v>
      </c>
      <c r="S30">
        <f>((H30/$C$10)^(1/A30))/(1+Assumptions!$C$43)-1</f>
        <v>5.473274473814782E-2</v>
      </c>
    </row>
    <row r="31" spans="1:19" x14ac:dyDescent="0.2">
      <c r="A31" s="30">
        <f t="shared" si="0"/>
        <v>16</v>
      </c>
      <c r="B31" s="30">
        <f t="shared" si="0"/>
        <v>48</v>
      </c>
      <c r="C31" s="30">
        <f t="shared" si="1"/>
        <v>62</v>
      </c>
      <c r="D31" s="31">
        <f>VLOOKUP(C31,'Bala Table'!$A:$B,2,FALSE)</f>
        <v>0.67800000000000005</v>
      </c>
      <c r="E31" s="21">
        <f>E30*(1+Assumptions!$F$34)</f>
        <v>1600602.3305588935</v>
      </c>
      <c r="F31" s="21">
        <f t="shared" si="2"/>
        <v>1085208.3801189298</v>
      </c>
      <c r="G31" s="21">
        <f>IF(A31&lt;=Assumptions!$C$26,PV('Scenario Tables'!F$27/12,(Assumptions!$C$26-A31)*12,-$C$11),0)</f>
        <v>329501.53922836424</v>
      </c>
      <c r="H31" s="21">
        <f t="shared" si="3"/>
        <v>755706.84089056554</v>
      </c>
      <c r="I31" s="21">
        <f>IF(A31&lt;=Assumptions!$C$26,G30*'Scenario Tables'!F$27,0)</f>
        <v>9067.9150416390148</v>
      </c>
      <c r="J31" s="21">
        <f>IF(A31&lt;=Assumptions!$C$26,$C$12-I31,0)</f>
        <v>19035.932708214048</v>
      </c>
      <c r="K31" s="21">
        <f>IF(Assumptions!$C$39="Investment",Assumptions!$F$35*12*(1+Assumptions!$F$36)^(A31-1)*(1-Assumptions!$C$40),Assumptions!$F$35*12*(1+Assumptions!$F$36)^(A31-1))</f>
        <v>72676.890269502983</v>
      </c>
      <c r="L31" s="21">
        <f>IF(Assumptions!$C$39="Investment",_xlfn.LET(_xlpm.gr,Assumptions!$F$35*12*(1+Assumptions!$F$36)^(A31-1),Assumptions!$F$37*(1+Assumptions!$F$36)^(A31-1)+MIN(_xlpm.gr,30000)*0.12+MAX(0,MIN(_xlpm.gr,45000)-30000)*0.2+MAX(0,MIN(_xlpm.gr,60000)-45000)*0.28+MAX(0,_xlpm.gr-60000)*0.36+K31*Assumptions!$C$41),Assumptions!$F$37*(1+Assumptions!$F$36)^(A31-1)+MAX(0,MIN(K31,25000)-12000)*0.04+MAX(0,MIN(K31,38000)-25000)*0.06+MAX(0,MIN(K31,50000)-38000)*0.08+MAX(0,MIN(K31,65000)-50000)*0.1+MAX(0,MIN(K31,80000)-65000)*0.12+MAX(0,MIN(K31,95000)-80000)*0.14+MAX(0,MIN(K31,110000)-95000)*0.16+MAX(0,K31-110000)*0.23)</f>
        <v>6296.2688383293125</v>
      </c>
      <c r="M31" s="21">
        <f>IF(Assumptions!$C$39="Investment",(K31-I31-L31)*(1-Assumptions!$C$42),K31-I31-L31)</f>
        <v>57312.706389534651</v>
      </c>
      <c r="N31" s="21">
        <f t="shared" si="4"/>
        <v>729643.87595719518</v>
      </c>
      <c r="O31" s="31">
        <f t="shared" si="5"/>
        <v>2.4010208860961546</v>
      </c>
      <c r="P31" s="21">
        <f>Assumptions!$C$8*(1+Assumptions!$C$9)^A31-Assumptions!$C$8+$C$7*((1+Assumptions!$C$9)^A31-1)</f>
        <v>145351.68619816896</v>
      </c>
      <c r="Q31" s="21">
        <f t="shared" si="6"/>
        <v>610355.15469239652</v>
      </c>
      <c r="R31" s="21">
        <f>N31/(1+Assumptions!$C$43)^A31</f>
        <v>491506.30742140557</v>
      </c>
      <c r="S31">
        <f>((H31/$C$10)^(1/A31))/(1+Assumptions!$C$43)-1</f>
        <v>5.317784798004821E-2</v>
      </c>
    </row>
    <row r="32" spans="1:19" x14ac:dyDescent="0.2">
      <c r="A32" s="30">
        <f t="shared" si="0"/>
        <v>17</v>
      </c>
      <c r="B32" s="30">
        <f t="shared" si="0"/>
        <v>49</v>
      </c>
      <c r="C32" s="30">
        <f t="shared" si="1"/>
        <v>61</v>
      </c>
      <c r="D32" s="31">
        <f>VLOOKUP(C32,'Bala Table'!$A:$B,2,FALSE)</f>
        <v>0.67100000000000004</v>
      </c>
      <c r="E32" s="21">
        <f>E31*(1+Assumptions!$F$34)</f>
        <v>1648620.4004756603</v>
      </c>
      <c r="F32" s="21">
        <f t="shared" si="2"/>
        <v>1106224.2887191682</v>
      </c>
      <c r="G32" s="21">
        <f>IF(A32&lt;=Assumptions!$C$26,PV('Scenario Tables'!F$27/12,(Assumptions!$C$26-A32)*12,-$C$11),0)</f>
        <v>309730.22821579309</v>
      </c>
      <c r="H32" s="21">
        <f t="shared" si="3"/>
        <v>796494.06050337502</v>
      </c>
      <c r="I32" s="21">
        <f>IF(A32&lt;=Assumptions!$C$26,G31*'Scenario Tables'!F$27,0)</f>
        <v>8567.0400199374708</v>
      </c>
      <c r="J32" s="21">
        <f>IF(A32&lt;=Assumptions!$C$26,$C$12-I32,0)</f>
        <v>19536.807729915592</v>
      </c>
      <c r="K32" s="21">
        <f>IF(Assumptions!$C$39="Investment",Assumptions!$F$35*12*(1+Assumptions!$F$36)^(A32-1)*(1-Assumptions!$C$40),Assumptions!$F$35*12*(1+Assumptions!$F$36)^(A32-1))</f>
        <v>74130.428074893047</v>
      </c>
      <c r="L32" s="21">
        <f>IF(Assumptions!$C$39="Investment",_xlfn.LET(_xlpm.gr,Assumptions!$F$35*12*(1+Assumptions!$F$36)^(A32-1),Assumptions!$F$37*(1+Assumptions!$F$36)^(A32-1)+MIN(_xlpm.gr,30000)*0.12+MAX(0,MIN(_xlpm.gr,45000)-30000)*0.2+MAX(0,MIN(_xlpm.gr,60000)-45000)*0.28+MAX(0,_xlpm.gr-60000)*0.36+K32*Assumptions!$C$41),Assumptions!$F$37*(1+Assumptions!$F$36)^(A32-1)+MAX(0,MIN(K32,25000)-12000)*0.04+MAX(0,MIN(K32,38000)-25000)*0.06+MAX(0,MIN(K32,50000)-38000)*0.08+MAX(0,MIN(K32,65000)-50000)*0.1+MAX(0,MIN(K32,80000)-65000)*0.12+MAX(0,MIN(K32,95000)-80000)*0.14+MAX(0,MIN(K32,110000)-95000)*0.16+MAX(0,K32-110000)*0.23)</f>
        <v>6502.9942150958996</v>
      </c>
      <c r="M32" s="21">
        <f>IF(Assumptions!$C$39="Investment",(K32-I32-L32)*(1-Assumptions!$C$42),K32-I32-L32)</f>
        <v>59060.39383985968</v>
      </c>
      <c r="N32" s="21">
        <f t="shared" si="4"/>
        <v>788704.26979705482</v>
      </c>
      <c r="O32" s="31">
        <f t="shared" si="5"/>
        <v>2.5845817304382313</v>
      </c>
      <c r="P32" s="21">
        <f>Assumptions!$C$8*(1+Assumptions!$C$9)^A32-Assumptions!$C$8+$C$7*((1+Assumptions!$C$9)^A32-1)</f>
        <v>156485.47835312312</v>
      </c>
      <c r="Q32" s="21">
        <f t="shared" si="6"/>
        <v>640008.58215025184</v>
      </c>
      <c r="R32" s="21">
        <f>N32/(1+Assumptions!$C$43)^A32</f>
        <v>518332.54760424438</v>
      </c>
      <c r="S32">
        <f>((H32/$C$10)^(1/A32))/(1+Assumptions!$C$43)-1</f>
        <v>5.1695857413821766E-2</v>
      </c>
    </row>
    <row r="33" spans="1:19" x14ac:dyDescent="0.2">
      <c r="A33" s="30">
        <f t="shared" si="0"/>
        <v>18</v>
      </c>
      <c r="B33" s="30">
        <f t="shared" si="0"/>
        <v>50</v>
      </c>
      <c r="C33" s="30">
        <f t="shared" si="1"/>
        <v>60</v>
      </c>
      <c r="D33" s="31">
        <f>VLOOKUP(C33,'Bala Table'!$A:$B,2,FALSE)</f>
        <v>0.66400000000000003</v>
      </c>
      <c r="E33" s="21">
        <f>E32*(1+Assumptions!$F$34)</f>
        <v>1698079.0124899303</v>
      </c>
      <c r="F33" s="21">
        <f t="shared" si="2"/>
        <v>1127524.4642933137</v>
      </c>
      <c r="G33" s="21">
        <f>IF(A33&lt;=Assumptions!$C$26,PV('Scenario Tables'!F$27/12,(Assumptions!$C$26-A33)*12,-$C$11),0)</f>
        <v>289438.69284730079</v>
      </c>
      <c r="H33" s="21">
        <f t="shared" si="3"/>
        <v>838085.77144601289</v>
      </c>
      <c r="I33" s="21">
        <f>IF(A33&lt;=Assumptions!$C$26,G32*'Scenario Tables'!F$27,0)</f>
        <v>8052.9859336106201</v>
      </c>
      <c r="J33" s="21">
        <f>IF(A33&lt;=Assumptions!$C$26,$C$12-I33,0)</f>
        <v>20050.861816242443</v>
      </c>
      <c r="K33" s="21">
        <f>IF(Assumptions!$C$39="Investment",Assumptions!$F$35*12*(1+Assumptions!$F$36)^(A33-1)*(1-Assumptions!$C$40),Assumptions!$F$35*12*(1+Assumptions!$F$36)^(A33-1))</f>
        <v>75613.036636390912</v>
      </c>
      <c r="L33" s="21">
        <f>IF(Assumptions!$C$39="Investment",_xlfn.LET(_xlpm.gr,Assumptions!$F$35*12*(1+Assumptions!$F$36)^(A33-1),Assumptions!$F$37*(1+Assumptions!$F$36)^(A33-1)+MIN(_xlpm.gr,30000)*0.12+MAX(0,MIN(_xlpm.gr,45000)-30000)*0.2+MAX(0,MIN(_xlpm.gr,60000)-45000)*0.28+MAX(0,_xlpm.gr-60000)*0.36+K33*Assumptions!$C$41),Assumptions!$F$37*(1+Assumptions!$F$36)^(A33-1)+MAX(0,MIN(K33,25000)-12000)*0.04+MAX(0,MIN(K33,38000)-25000)*0.06+MAX(0,MIN(K33,50000)-38000)*0.08+MAX(0,MIN(K33,65000)-50000)*0.1+MAX(0,MIN(K33,80000)-65000)*0.12+MAX(0,MIN(K33,95000)-80000)*0.14+MAX(0,MIN(K33,110000)-95000)*0.16+MAX(0,K33-110000)*0.23)</f>
        <v>6713.8540993978186</v>
      </c>
      <c r="M33" s="21">
        <f>IF(Assumptions!$C$39="Investment",(K33-I33-L33)*(1-Assumptions!$C$42),K33-I33-L33)</f>
        <v>60846.196603382479</v>
      </c>
      <c r="N33" s="21">
        <f t="shared" si="4"/>
        <v>849550.46640043729</v>
      </c>
      <c r="O33" s="31">
        <f t="shared" si="5"/>
        <v>2.7717631478218401</v>
      </c>
      <c r="P33" s="21">
        <f>Assumptions!$C$8*(1+Assumptions!$C$9)^A33-Assumptions!$C$8+$C$7*((1+Assumptions!$C$9)^A33-1)</f>
        <v>167897.6153119512</v>
      </c>
      <c r="Q33" s="21">
        <f t="shared" si="6"/>
        <v>670188.15613406175</v>
      </c>
      <c r="R33" s="21">
        <f>N33/(1+Assumptions!$C$43)^A33</f>
        <v>544702.79732075683</v>
      </c>
      <c r="S33">
        <f>((H33/$C$10)^(1/A33))/(1+Assumptions!$C$43)-1</f>
        <v>5.0283105846486098E-2</v>
      </c>
    </row>
    <row r="34" spans="1:19" x14ac:dyDescent="0.2">
      <c r="A34" s="30">
        <f t="shared" si="0"/>
        <v>19</v>
      </c>
      <c r="B34" s="30">
        <f t="shared" si="0"/>
        <v>51</v>
      </c>
      <c r="C34" s="30">
        <f t="shared" si="1"/>
        <v>59</v>
      </c>
      <c r="D34" s="31">
        <f>VLOOKUP(C34,'Bala Table'!$A:$B,2,FALSE)</f>
        <v>0.65600000000000003</v>
      </c>
      <c r="E34" s="21">
        <f>E33*(1+Assumptions!$F$34)</f>
        <v>1749021.3828646282</v>
      </c>
      <c r="F34" s="21">
        <f t="shared" si="2"/>
        <v>1147358.0271591961</v>
      </c>
      <c r="G34" s="21">
        <f>IF(A34&lt;=Assumptions!$C$26,PV('Scenario Tables'!F$27/12,(Assumptions!$C$26-A34)*12,-$C$11),0)</f>
        <v>268613.24493699387</v>
      </c>
      <c r="H34" s="21">
        <f t="shared" si="3"/>
        <v>878744.78222220228</v>
      </c>
      <c r="I34" s="21">
        <f>IF(A34&lt;=Assumptions!$C$26,G33*'Scenario Tables'!F$27,0)</f>
        <v>7525.4060140298197</v>
      </c>
      <c r="J34" s="21">
        <f>IF(A34&lt;=Assumptions!$C$26,$C$12-I34,0)</f>
        <v>20578.441735823242</v>
      </c>
      <c r="K34" s="21">
        <f>IF(Assumptions!$C$39="Investment",Assumptions!$F$35*12*(1+Assumptions!$F$36)^(A34-1)*(1-Assumptions!$C$40),Assumptions!$F$35*12*(1+Assumptions!$F$36)^(A34-1))</f>
        <v>77125.297369118722</v>
      </c>
      <c r="L34" s="21">
        <f>IF(Assumptions!$C$39="Investment",_xlfn.LET(_xlpm.gr,Assumptions!$F$35*12*(1+Assumptions!$F$36)^(A34-1),Assumptions!$F$37*(1+Assumptions!$F$36)^(A34-1)+MIN(_xlpm.gr,30000)*0.12+MAX(0,MIN(_xlpm.gr,45000)-30000)*0.2+MAX(0,MIN(_xlpm.gr,60000)-45000)*0.28+MAX(0,_xlpm.gr-60000)*0.36+K34*Assumptions!$C$41),Assumptions!$F$37*(1+Assumptions!$F$36)^(A34-1)+MAX(0,MIN(K34,25000)-12000)*0.04+MAX(0,MIN(K34,38000)-25000)*0.06+MAX(0,MIN(K34,50000)-38000)*0.08+MAX(0,MIN(K34,65000)-50000)*0.1+MAX(0,MIN(K34,80000)-65000)*0.12+MAX(0,MIN(K34,95000)-80000)*0.14+MAX(0,MIN(K34,110000)-95000)*0.16+MAX(0,K34-110000)*0.23)</f>
        <v>6928.9311813857739</v>
      </c>
      <c r="M34" s="21">
        <f>IF(Assumptions!$C$39="Investment",(K34-I34-L34)*(1-Assumptions!$C$42),K34-I34-L34)</f>
        <v>62670.960173703126</v>
      </c>
      <c r="N34" s="21">
        <f t="shared" si="4"/>
        <v>912221.42657414044</v>
      </c>
      <c r="O34" s="31">
        <f t="shared" si="5"/>
        <v>2.9547469946993803</v>
      </c>
      <c r="P34" s="21">
        <f>Assumptions!$C$8*(1+Assumptions!$C$9)^A34-Assumptions!$C$8+$C$7*((1+Assumptions!$C$9)^A34-1)</f>
        <v>179595.05569474999</v>
      </c>
      <c r="Q34" s="21">
        <f t="shared" si="6"/>
        <v>699149.72652745224</v>
      </c>
      <c r="R34" s="21">
        <f>N34/(1+Assumptions!$C$43)^A34</f>
        <v>570619.78584371356</v>
      </c>
      <c r="S34">
        <f>((H34/$C$10)^(1/A34))/(1+Assumptions!$C$43)-1</f>
        <v>4.8825975955562484E-2</v>
      </c>
    </row>
    <row r="35" spans="1:19" x14ac:dyDescent="0.2">
      <c r="A35" s="30">
        <f t="shared" si="0"/>
        <v>20</v>
      </c>
      <c r="B35" s="30">
        <f t="shared" si="0"/>
        <v>52</v>
      </c>
      <c r="C35" s="30">
        <f t="shared" si="1"/>
        <v>58</v>
      </c>
      <c r="D35" s="31">
        <f>VLOOKUP(C35,'Bala Table'!$A:$B,2,FALSE)</f>
        <v>0.64800000000000002</v>
      </c>
      <c r="E35" s="21">
        <f>E34*(1+Assumptions!$F$34)</f>
        <v>1801492.024350567</v>
      </c>
      <c r="F35" s="21">
        <f t="shared" si="2"/>
        <v>1167366.8317791675</v>
      </c>
      <c r="G35" s="21">
        <f>IF(A35&lt;=Assumptions!$C$26,PV('Scenario Tables'!F$27/12,(Assumptions!$C$26-A35)*12,-$C$11),0)</f>
        <v>247239.83613431046</v>
      </c>
      <c r="H35" s="21">
        <f t="shared" si="3"/>
        <v>920126.99564485706</v>
      </c>
      <c r="I35" s="21">
        <f>IF(A35&lt;=Assumptions!$C$26,G34*'Scenario Tables'!F$27,0)</f>
        <v>6983.9443683618401</v>
      </c>
      <c r="J35" s="21">
        <f>IF(A35&lt;=Assumptions!$C$26,$C$12-I35,0)</f>
        <v>21119.903381491222</v>
      </c>
      <c r="K35" s="21">
        <f>IF(Assumptions!$C$39="Investment",Assumptions!$F$35*12*(1+Assumptions!$F$36)^(A35-1)*(1-Assumptions!$C$40),Assumptions!$F$35*12*(1+Assumptions!$F$36)^(A35-1))</f>
        <v>78667.8033165011</v>
      </c>
      <c r="L35" s="21">
        <f>IF(Assumptions!$C$39="Investment",_xlfn.LET(_xlpm.gr,Assumptions!$F$35*12*(1+Assumptions!$F$36)^(A35-1),Assumptions!$F$37*(1+Assumptions!$F$36)^(A35-1)+MIN(_xlpm.gr,30000)*0.12+MAX(0,MIN(_xlpm.gr,45000)-30000)*0.2+MAX(0,MIN(_xlpm.gr,60000)-45000)*0.28+MAX(0,_xlpm.gr-60000)*0.36+K35*Assumptions!$C$41),Assumptions!$F$37*(1+Assumptions!$F$36)^(A35-1)+MAX(0,MIN(K35,25000)-12000)*0.04+MAX(0,MIN(K35,38000)-25000)*0.06+MAX(0,MIN(K35,50000)-38000)*0.08+MAX(0,MIN(K35,65000)-50000)*0.1+MAX(0,MIN(K35,80000)-65000)*0.12+MAX(0,MIN(K35,95000)-80000)*0.14+MAX(0,MIN(K35,110000)-95000)*0.16+MAX(0,K35-110000)*0.23)</f>
        <v>7148.3098050134895</v>
      </c>
      <c r="M35" s="21">
        <f>IF(Assumptions!$C$39="Investment",(K35-I35-L35)*(1-Assumptions!$C$42),K35-I35-L35)</f>
        <v>64535.549143125769</v>
      </c>
      <c r="N35" s="21">
        <f t="shared" si="4"/>
        <v>976756.97571726621</v>
      </c>
      <c r="O35" s="31">
        <f t="shared" si="5"/>
        <v>3.1409855789597527</v>
      </c>
      <c r="P35" s="21">
        <f>Assumptions!$C$8*(1+Assumptions!$C$9)^A35-Assumptions!$C$8+$C$7*((1+Assumptions!$C$9)^A35-1)</f>
        <v>191584.93208711868</v>
      </c>
      <c r="Q35" s="21">
        <f t="shared" si="6"/>
        <v>728542.06355773844</v>
      </c>
      <c r="R35" s="21">
        <f>N35/(1+Assumptions!$C$43)^A35</f>
        <v>596086.4005149157</v>
      </c>
      <c r="S35">
        <f>((H35/$C$10)^(1/A35))/(1+Assumptions!$C$43)-1</f>
        <v>4.7445223151185267E-2</v>
      </c>
    </row>
    <row r="37" spans="1:19" x14ac:dyDescent="0.2">
      <c r="A37" s="23" t="s">
        <v>81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9" x14ac:dyDescent="0.2">
      <c r="A38" s="13" t="s">
        <v>82</v>
      </c>
      <c r="E38" s="22">
        <f>H35</f>
        <v>920126.99564485706</v>
      </c>
      <c r="G38" s="13" t="s">
        <v>83</v>
      </c>
      <c r="I38" s="22">
        <f>G35</f>
        <v>247239.83613431046</v>
      </c>
    </row>
    <row r="39" spans="1:19" x14ac:dyDescent="0.2">
      <c r="A39" s="13" t="s">
        <v>84</v>
      </c>
      <c r="E39" s="25">
        <f>Q35</f>
        <v>728542.06355773844</v>
      </c>
      <c r="G39" s="13" t="s">
        <v>85</v>
      </c>
      <c r="I39" s="22">
        <f>P35</f>
        <v>191584.93208711868</v>
      </c>
    </row>
    <row r="40" spans="1:19" x14ac:dyDescent="0.2">
      <c r="A40" s="13" t="s">
        <v>86</v>
      </c>
      <c r="E40" s="32">
        <f>O35</f>
        <v>3.1409855789597527</v>
      </c>
      <c r="G40" s="13" t="s">
        <v>87</v>
      </c>
      <c r="I40" s="33">
        <f>(H35/$C$10)^(1/20)-1</f>
        <v>7.3631353729964877E-2</v>
      </c>
    </row>
    <row r="41" spans="1:19" x14ac:dyDescent="0.2">
      <c r="A41" s="13" t="s">
        <v>88</v>
      </c>
      <c r="E41" s="22">
        <f>N35</f>
        <v>976756.97571726621</v>
      </c>
      <c r="G41" s="13" t="s">
        <v>89</v>
      </c>
      <c r="I41" s="34" cm="1">
        <f t="array" ref="I41">IFERROR(MATCH(TRUE,INDEX(H16:H35&gt;$C$10,0),0),"Never")</f>
        <v>1</v>
      </c>
    </row>
    <row r="42" spans="1:19" x14ac:dyDescent="0.2">
      <c r="A42" s="96" t="s">
        <v>191</v>
      </c>
      <c r="E42" s="87">
        <f>S35</f>
        <v>4.7445223151185267E-2</v>
      </c>
      <c r="G42" s="96" t="s">
        <v>192</v>
      </c>
      <c r="I42" s="72">
        <f>R35</f>
        <v>596086.4005149157</v>
      </c>
    </row>
    <row r="43" spans="1:19" x14ac:dyDescent="0.2">
      <c r="A43" s="96" t="s">
        <v>193</v>
      </c>
      <c r="E43" s="129">
        <f>Assumptions!$C$43</f>
        <v>2.5000000000000001E-2</v>
      </c>
      <c r="G43" s="13"/>
      <c r="I43" s="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C027-D132-2345-B193-C653FDDE7EBB}">
  <dimension ref="A1:S43"/>
  <sheetViews>
    <sheetView topLeftCell="C1" workbookViewId="0">
      <selection activeCell="M24" sqref="M24"/>
    </sheetView>
  </sheetViews>
  <sheetFormatPr baseColWidth="10" defaultRowHeight="16" x14ac:dyDescent="0.2"/>
  <cols>
    <col min="1" max="17" width="16.6640625" customWidth="1"/>
  </cols>
  <sheetData>
    <row r="1" spans="1:19" ht="19" x14ac:dyDescent="0.25">
      <c r="A1" s="7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19" x14ac:dyDescent="0.2">
      <c r="A3" s="23" t="s">
        <v>57</v>
      </c>
      <c r="B3" s="4"/>
      <c r="C3" s="4"/>
    </row>
    <row r="4" spans="1:19" x14ac:dyDescent="0.2">
      <c r="A4" t="s">
        <v>36</v>
      </c>
      <c r="C4" s="21">
        <f>Assumptions!G31</f>
        <v>1400000</v>
      </c>
    </row>
    <row r="5" spans="1:19" x14ac:dyDescent="0.2">
      <c r="A5" t="s">
        <v>58</v>
      </c>
      <c r="C5" s="21">
        <f>Assumptions!C22*Assumptions!G31</f>
        <v>1050000</v>
      </c>
    </row>
    <row r="6" spans="1:19" x14ac:dyDescent="0.2">
      <c r="A6" t="s">
        <v>59</v>
      </c>
      <c r="C6" s="21">
        <f>Assumptions!C23*Assumptions!G31-C7</f>
        <v>200000</v>
      </c>
    </row>
    <row r="7" spans="1:19" x14ac:dyDescent="0.2">
      <c r="A7" t="s">
        <v>60</v>
      </c>
      <c r="C7" s="21">
        <f>MIN(Assumptions!C24*Assumptions!G31,Assumptions!C8)</f>
        <v>150000</v>
      </c>
    </row>
    <row r="8" spans="1:19" x14ac:dyDescent="0.2">
      <c r="A8" t="s">
        <v>61</v>
      </c>
      <c r="C8" s="21">
        <f>Assumptions!G51</f>
        <v>62200</v>
      </c>
    </row>
    <row r="9" spans="1:19" x14ac:dyDescent="0.2">
      <c r="A9" t="s">
        <v>62</v>
      </c>
      <c r="C9" s="25">
        <f>C6+C8</f>
        <v>262200</v>
      </c>
    </row>
    <row r="10" spans="1:19" x14ac:dyDescent="0.2">
      <c r="A10" t="s">
        <v>63</v>
      </c>
      <c r="C10" s="25">
        <f>C6+C7+C8</f>
        <v>412200</v>
      </c>
    </row>
    <row r="11" spans="1:19" x14ac:dyDescent="0.2">
      <c r="A11" t="s">
        <v>64</v>
      </c>
      <c r="C11" s="21">
        <f>PMT('Scenario Tables'!G$27/12,Assumptions!C26*12,-C5)</f>
        <v>4203.5669711318678</v>
      </c>
    </row>
    <row r="12" spans="1:19" x14ac:dyDescent="0.2">
      <c r="A12" t="s">
        <v>65</v>
      </c>
      <c r="C12" s="21">
        <f>C11*12</f>
        <v>50442.803653582414</v>
      </c>
    </row>
    <row r="14" spans="1:19" ht="51" x14ac:dyDescent="0.2">
      <c r="A14" s="26" t="s">
        <v>66</v>
      </c>
      <c r="B14" s="26" t="s">
        <v>67</v>
      </c>
      <c r="C14" s="28" t="s">
        <v>68</v>
      </c>
      <c r="D14" s="28" t="s">
        <v>69</v>
      </c>
      <c r="E14" s="28" t="s">
        <v>70</v>
      </c>
      <c r="F14" s="28" t="s">
        <v>71</v>
      </c>
      <c r="G14" s="28" t="s">
        <v>72</v>
      </c>
      <c r="H14" s="28" t="s">
        <v>73</v>
      </c>
      <c r="I14" s="28" t="s">
        <v>74</v>
      </c>
      <c r="J14" s="28" t="s">
        <v>75</v>
      </c>
      <c r="K14" s="28" t="s">
        <v>184</v>
      </c>
      <c r="L14" s="28" t="s">
        <v>185</v>
      </c>
      <c r="M14" s="28" t="s">
        <v>186</v>
      </c>
      <c r="N14" s="28" t="s">
        <v>76</v>
      </c>
      <c r="O14" s="28" t="s">
        <v>77</v>
      </c>
      <c r="P14" s="28" t="s">
        <v>78</v>
      </c>
      <c r="Q14" s="28" t="s">
        <v>79</v>
      </c>
      <c r="R14" s="73" t="s">
        <v>189</v>
      </c>
      <c r="S14" s="73" t="s">
        <v>190</v>
      </c>
    </row>
    <row r="15" spans="1:19" x14ac:dyDescent="0.2">
      <c r="A15" s="30">
        <v>0</v>
      </c>
      <c r="B15" s="30">
        <f>Assumptions!C4</f>
        <v>32</v>
      </c>
      <c r="C15" s="30">
        <f>Assumptions!G33</f>
        <v>88</v>
      </c>
      <c r="D15" s="31">
        <f>VLOOKUP(C15,'Bala Table'!A:B,2,FALSE)</f>
        <v>0.84</v>
      </c>
      <c r="E15" s="21">
        <f>C4/D15</f>
        <v>1666666.6666666667</v>
      </c>
      <c r="F15" s="21">
        <f>C4</f>
        <v>1400000</v>
      </c>
      <c r="G15" s="21">
        <f>C5</f>
        <v>1050000</v>
      </c>
      <c r="H15" s="21">
        <f>F15-G15</f>
        <v>350000</v>
      </c>
      <c r="I15" s="29" t="s">
        <v>80</v>
      </c>
      <c r="J15" s="29" t="s">
        <v>80</v>
      </c>
      <c r="K15" s="29" t="s">
        <v>80</v>
      </c>
      <c r="L15" s="29" t="s">
        <v>80</v>
      </c>
      <c r="M15" s="29" t="s">
        <v>80</v>
      </c>
      <c r="N15" s="29" t="s">
        <v>80</v>
      </c>
      <c r="O15" s="29" t="s">
        <v>80</v>
      </c>
      <c r="P15" s="21">
        <v>0</v>
      </c>
      <c r="Q15" s="21">
        <f>H15-P15</f>
        <v>350000</v>
      </c>
      <c r="R15" s="124" t="s">
        <v>80</v>
      </c>
      <c r="S15" s="124" t="s">
        <v>80</v>
      </c>
    </row>
    <row r="16" spans="1:19" x14ac:dyDescent="0.2">
      <c r="A16" s="30">
        <f>A15+1</f>
        <v>1</v>
      </c>
      <c r="B16" s="30">
        <f>B15+1</f>
        <v>33</v>
      </c>
      <c r="C16" s="30">
        <f>C15-1</f>
        <v>87</v>
      </c>
      <c r="D16" s="31">
        <f>VLOOKUP(C16,'Bala Table'!$A:$B,2,FALSE)</f>
        <v>0.83499999999999996</v>
      </c>
      <c r="E16" s="21">
        <f>E15*(1+Assumptions!$G$34)</f>
        <v>1716666.6666666667</v>
      </c>
      <c r="F16" s="21">
        <f>E16*D16</f>
        <v>1433416.6666666667</v>
      </c>
      <c r="G16" s="21">
        <f>IF(A16&lt;=Assumptions!$C$26,PV('Scenario Tables'!G$27/12,(Assumptions!$C$26-A16)*12,-$C$11),0)</f>
        <v>1026579.4097447618</v>
      </c>
      <c r="H16" s="21">
        <f>F16-G16</f>
        <v>406837.25692190498</v>
      </c>
      <c r="I16" s="21">
        <f>IF(A16&lt;=Assumptions!$C$26,G15*'Scenario Tables'!G$27,0)</f>
        <v>27300</v>
      </c>
      <c r="J16" s="21">
        <f>IF(A16&lt;=Assumptions!$C$26,$C$12-I16,0)</f>
        <v>23142.803653582414</v>
      </c>
      <c r="K16" s="21">
        <f>IF(Assumptions!$C$39="Investment",Assumptions!$G$35*12*(1+Assumptions!$G$36)^(A16-1)*(1-Assumptions!$C$40),Assumptions!$G$35*12*(1+Assumptions!$G$36)^(A16-1))</f>
        <v>54000</v>
      </c>
      <c r="L16" s="21">
        <f>IF(Assumptions!$C$39="Investment",_xlfn.LET(_xlpm.gr,Assumptions!$G$35*12*(1+Assumptions!$G$36)^(A16-1),Assumptions!$G$37*(1+Assumptions!$G$36)^(A16-1)+MIN(_xlpm.gr,30000)*0.12+MAX(0,MIN(_xlpm.gr,45000)-30000)*0.2+MAX(0,MIN(_xlpm.gr,60000)-45000)*0.28+MAX(0,_xlpm.gr-60000)*0.36+K16*Assumptions!$C$41),Assumptions!$G$37*(1+Assumptions!$G$36)^(A16-1)+MAX(0,MIN(K16,25000)-12000)*0.04+MAX(0,MIN(K16,38000)-25000)*0.06+MAX(0,MIN(K16,50000)-38000)*0.08+MAX(0,MIN(K16,65000)-50000)*0.1+MAX(0,MIN(K16,80000)-65000)*0.12+MAX(0,MIN(K16,95000)-80000)*0.14+MAX(0,MIN(K16,110000)-95000)*0.16+MAX(0,K16-110000)*0.23)</f>
        <v>3980</v>
      </c>
      <c r="M16" s="21">
        <f>IF(Assumptions!$C$39="Investment",(K16-I16-L16)*(1-Assumptions!$C$42),K16-I16-L16)</f>
        <v>22720</v>
      </c>
      <c r="N16" s="21">
        <f>IF(A16=1,M16,N15+M16)</f>
        <v>22720</v>
      </c>
      <c r="O16" s="31">
        <f>(H16-$C$10)/$C$10</f>
        <v>-1.3010051135601707E-2</v>
      </c>
      <c r="P16" s="21">
        <f>Assumptions!$C$8*(1+Assumptions!$C$9)^A16-Assumptions!$C$8+$C$7*((1+Assumptions!$C$9)^A16-1)</f>
        <v>7499.9999999999873</v>
      </c>
      <c r="Q16" s="21">
        <f>H16-P16</f>
        <v>399337.25692190498</v>
      </c>
      <c r="R16" s="21">
        <f>N16/(1+Assumptions!$C$43)^A16</f>
        <v>22165.853658536587</v>
      </c>
      <c r="S16">
        <f>((H16/$C$10)^(1/A16))/(1+Assumptions!$C$43)-1</f>
        <v>-3.7082976717660143E-2</v>
      </c>
    </row>
    <row r="17" spans="1:19" x14ac:dyDescent="0.2">
      <c r="A17" s="30">
        <f t="shared" ref="A17:B35" si="0">A16+1</f>
        <v>2</v>
      </c>
      <c r="B17" s="30">
        <f t="shared" si="0"/>
        <v>34</v>
      </c>
      <c r="C17" s="30">
        <f t="shared" ref="C17:C35" si="1">C16-1</f>
        <v>86</v>
      </c>
      <c r="D17" s="31">
        <f>VLOOKUP(C17,'Bala Table'!$A:$B,2,FALSE)</f>
        <v>0.83</v>
      </c>
      <c r="E17" s="21">
        <f>E16*(1+Assumptions!$G$34)</f>
        <v>1768166.6666666667</v>
      </c>
      <c r="F17" s="21">
        <f t="shared" ref="F17:F35" si="2">E17*D17</f>
        <v>1467578.3333333333</v>
      </c>
      <c r="G17" s="21">
        <f>IF(A17&lt;=Assumptions!$C$26,PV('Scenario Tables'!G$27/12,(Assumptions!$C$26-A17)*12,-$C$11),0)</f>
        <v>1002542.5749990495</v>
      </c>
      <c r="H17" s="21">
        <f t="shared" ref="H17:H35" si="3">F17-G17</f>
        <v>465035.75833428372</v>
      </c>
      <c r="I17" s="21">
        <f>IF(A17&lt;=Assumptions!$C$26,G16*'Scenario Tables'!G$27,0)</f>
        <v>26691.064653363806</v>
      </c>
      <c r="J17" s="21">
        <f>IF(A17&lt;=Assumptions!$C$26,$C$12-I17,0)</f>
        <v>23751.739000218608</v>
      </c>
      <c r="K17" s="21">
        <f>IF(Assumptions!$C$39="Investment",Assumptions!$G$35*12*(1+Assumptions!$G$36)^(A17-1)*(1-Assumptions!$C$40),Assumptions!$G$35*12*(1+Assumptions!$G$36)^(A17-1))</f>
        <v>55080</v>
      </c>
      <c r="L17" s="21">
        <f>IF(Assumptions!$C$39="Investment",_xlfn.LET(_xlpm.gr,Assumptions!$G$35*12*(1+Assumptions!$G$36)^(A17-1),Assumptions!$G$37*(1+Assumptions!$G$36)^(A17-1)+MIN(_xlpm.gr,30000)*0.12+MAX(0,MIN(_xlpm.gr,45000)-30000)*0.2+MAX(0,MIN(_xlpm.gr,60000)-45000)*0.28+MAX(0,_xlpm.gr-60000)*0.36+K17*Assumptions!$C$41),Assumptions!$G$37*(1+Assumptions!$G$36)^(A17-1)+MAX(0,MIN(K17,25000)-12000)*0.04+MAX(0,MIN(K17,38000)-25000)*0.06+MAX(0,MIN(K17,50000)-38000)*0.08+MAX(0,MIN(K17,65000)-50000)*0.1+MAX(0,MIN(K17,80000)-65000)*0.12+MAX(0,MIN(K17,95000)-80000)*0.14+MAX(0,MIN(K17,110000)-95000)*0.16+MAX(0,K17-110000)*0.23)</f>
        <v>4114.3999999999996</v>
      </c>
      <c r="M17" s="21">
        <f>IF(Assumptions!$C$39="Investment",(K17-I17-L17)*(1-Assumptions!$C$42),K17-I17-L17)</f>
        <v>24274.535346636192</v>
      </c>
      <c r="N17" s="21">
        <f t="shared" ref="N17:N35" si="4">IF(A17=1,M17,N16+M17)</f>
        <v>46994.535346636192</v>
      </c>
      <c r="O17" s="31">
        <f t="shared" ref="O17:O35" si="5">(H17-$C$10)/$C$10</f>
        <v>0.12817990862271644</v>
      </c>
      <c r="P17" s="21">
        <f>Assumptions!$C$8*(1+Assumptions!$C$9)^A17-Assumptions!$C$8+$C$7*((1+Assumptions!$C$9)^A17-1)</f>
        <v>15187.499999999989</v>
      </c>
      <c r="Q17" s="21">
        <f t="shared" ref="Q17:Q35" si="6">H17-P17</f>
        <v>449848.25833428372</v>
      </c>
      <c r="R17" s="21">
        <f>N17/(1+Assumptions!$C$43)^A17</f>
        <v>44730.07528531702</v>
      </c>
      <c r="S17">
        <f>((H17/$C$10)^(1/A17))/(1+Assumptions!$C$43)-1</f>
        <v>3.6251841263751139E-2</v>
      </c>
    </row>
    <row r="18" spans="1:19" x14ac:dyDescent="0.2">
      <c r="A18" s="30">
        <f t="shared" si="0"/>
        <v>3</v>
      </c>
      <c r="B18" s="30">
        <f t="shared" si="0"/>
        <v>35</v>
      </c>
      <c r="C18" s="30">
        <f t="shared" si="1"/>
        <v>85</v>
      </c>
      <c r="D18" s="31">
        <f>VLOOKUP(C18,'Bala Table'!$A:$B,2,FALSE)</f>
        <v>0.82399999999999995</v>
      </c>
      <c r="E18" s="21">
        <f>E17*(1+Assumptions!$G$34)</f>
        <v>1821211.6666666667</v>
      </c>
      <c r="F18" s="21">
        <f t="shared" si="2"/>
        <v>1500678.4133333333</v>
      </c>
      <c r="G18" s="21">
        <f>IF(A18&lt;=Assumptions!$C$26,PV('Scenario Tables'!G$27/12,(Assumptions!$C$26-A18)*12,-$C$11),0)</f>
        <v>977873.28108732507</v>
      </c>
      <c r="H18" s="21">
        <f t="shared" si="3"/>
        <v>522805.13224600826</v>
      </c>
      <c r="I18" s="21">
        <f>IF(A18&lt;=Assumptions!$C$26,G17*'Scenario Tables'!G$27,0)</f>
        <v>26066.106949975288</v>
      </c>
      <c r="J18" s="21">
        <f>IF(A18&lt;=Assumptions!$C$26,$C$12-I18,0)</f>
        <v>24376.696703607126</v>
      </c>
      <c r="K18" s="21">
        <f>IF(Assumptions!$C$39="Investment",Assumptions!$G$35*12*(1+Assumptions!$G$36)^(A18-1)*(1-Assumptions!$C$40),Assumptions!$G$35*12*(1+Assumptions!$G$36)^(A18-1))</f>
        <v>56181.599999999999</v>
      </c>
      <c r="L18" s="21">
        <f>IF(Assumptions!$C$39="Investment",_xlfn.LET(_xlpm.gr,Assumptions!$G$35*12*(1+Assumptions!$G$36)^(A18-1),Assumptions!$G$37*(1+Assumptions!$G$36)^(A18-1)+MIN(_xlpm.gr,30000)*0.12+MAX(0,MIN(_xlpm.gr,45000)-30000)*0.2+MAX(0,MIN(_xlpm.gr,60000)-45000)*0.28+MAX(0,_xlpm.gr-60000)*0.36+K18*Assumptions!$C$41),Assumptions!$G$37*(1+Assumptions!$G$36)^(A18-1)+MAX(0,MIN(K18,25000)-12000)*0.04+MAX(0,MIN(K18,38000)-25000)*0.06+MAX(0,MIN(K18,50000)-38000)*0.08+MAX(0,MIN(K18,65000)-50000)*0.1+MAX(0,MIN(K18,80000)-65000)*0.12+MAX(0,MIN(K18,95000)-80000)*0.14+MAX(0,MIN(K18,110000)-95000)*0.16+MAX(0,K18-110000)*0.23)</f>
        <v>4251.4879999999994</v>
      </c>
      <c r="M18" s="21">
        <f>IF(Assumptions!$C$39="Investment",(K18-I18-L18)*(1-Assumptions!$C$42),K18-I18-L18)</f>
        <v>25864.005050024709</v>
      </c>
      <c r="N18" s="21">
        <f t="shared" si="4"/>
        <v>72858.540396660901</v>
      </c>
      <c r="O18" s="31">
        <f t="shared" si="5"/>
        <v>0.26832880214946203</v>
      </c>
      <c r="P18" s="21">
        <f>Assumptions!$C$8*(1+Assumptions!$C$9)^A18-Assumptions!$C$8+$C$7*((1+Assumptions!$C$9)^A18-1)</f>
        <v>23067.187499999953</v>
      </c>
      <c r="Q18" s="21">
        <f t="shared" si="6"/>
        <v>499737.94474600832</v>
      </c>
      <c r="R18" s="21">
        <f>N18/(1+Assumptions!$C$43)^A18</f>
        <v>67656.397692812039</v>
      </c>
      <c r="S18">
        <f>((H18/$C$10)^(1/A18))/(1+Assumptions!$C$43)-1</f>
        <v>5.6055524695777681E-2</v>
      </c>
    </row>
    <row r="19" spans="1:19" x14ac:dyDescent="0.2">
      <c r="A19" s="30">
        <f t="shared" si="0"/>
        <v>4</v>
      </c>
      <c r="B19" s="30">
        <f t="shared" si="0"/>
        <v>36</v>
      </c>
      <c r="C19" s="30">
        <f t="shared" si="1"/>
        <v>84</v>
      </c>
      <c r="D19" s="31">
        <f>VLOOKUP(C19,'Bala Table'!$A:$B,2,FALSE)</f>
        <v>0.81799999999999995</v>
      </c>
      <c r="E19" s="21">
        <f>E18*(1+Assumptions!$G$34)</f>
        <v>1875848.0166666668</v>
      </c>
      <c r="F19" s="21">
        <f t="shared" si="2"/>
        <v>1534443.6776333335</v>
      </c>
      <c r="G19" s="21">
        <f>IF(A19&lt;=Assumptions!$C$26,PV('Scenario Tables'!G$27/12,(Assumptions!$C$26-A19)*12,-$C$11),0)</f>
        <v>952554.88669217331</v>
      </c>
      <c r="H19" s="21">
        <f>F19-G19</f>
        <v>581888.79094116017</v>
      </c>
      <c r="I19" s="21">
        <f>IF(A19&lt;=Assumptions!$C$26,G18*'Scenario Tables'!G$27,0)</f>
        <v>25424.705308270451</v>
      </c>
      <c r="J19" s="21">
        <f>IF(A19&lt;=Assumptions!$C$26,$C$12-I19,0)</f>
        <v>25018.098345311962</v>
      </c>
      <c r="K19" s="21">
        <f>IF(Assumptions!$C$39="Investment",Assumptions!$G$35*12*(1+Assumptions!$G$36)^(A19-1)*(1-Assumptions!$C$40),Assumptions!$G$35*12*(1+Assumptions!$G$36)^(A19-1))</f>
        <v>57305.231999999996</v>
      </c>
      <c r="L19" s="21">
        <f>IF(Assumptions!$C$39="Investment",_xlfn.LET(_xlpm.gr,Assumptions!$G$35*12*(1+Assumptions!$G$36)^(A19-1),Assumptions!$G$37*(1+Assumptions!$G$36)^(A19-1)+MIN(_xlpm.gr,30000)*0.12+MAX(0,MIN(_xlpm.gr,45000)-30000)*0.2+MAX(0,MIN(_xlpm.gr,60000)-45000)*0.28+MAX(0,_xlpm.gr-60000)*0.36+K19*Assumptions!$C$41),Assumptions!$G$37*(1+Assumptions!$G$36)^(A19-1)+MAX(0,MIN(K19,25000)-12000)*0.04+MAX(0,MIN(K19,38000)-25000)*0.06+MAX(0,MIN(K19,50000)-38000)*0.08+MAX(0,MIN(K19,65000)-50000)*0.1+MAX(0,MIN(K19,80000)-65000)*0.12+MAX(0,MIN(K19,95000)-80000)*0.14+MAX(0,MIN(K19,110000)-95000)*0.16+MAX(0,K19-110000)*0.23)</f>
        <v>4391.3177599999999</v>
      </c>
      <c r="M19" s="21">
        <f>IF(Assumptions!$C$39="Investment",(K19-I19-L19)*(1-Assumptions!$C$42),K19-I19-L19)</f>
        <v>27489.208931729547</v>
      </c>
      <c r="N19" s="21">
        <f t="shared" si="4"/>
        <v>100347.74932839045</v>
      </c>
      <c r="O19" s="31">
        <f t="shared" si="5"/>
        <v>0.41166615948850116</v>
      </c>
      <c r="P19" s="21">
        <f>Assumptions!$C$8*(1+Assumptions!$C$9)^A19-Assumptions!$C$8+$C$7*((1+Assumptions!$C$9)^A19-1)</f>
        <v>31143.867187499935</v>
      </c>
      <c r="Q19" s="21">
        <f t="shared" si="6"/>
        <v>550744.92375366029</v>
      </c>
      <c r="R19" s="21">
        <f>N19/(1+Assumptions!$C$43)^A19</f>
        <v>90910.108208259509</v>
      </c>
      <c r="S19">
        <f>((H19/$C$10)^(1/A19))/(1+Assumptions!$C$43)-1</f>
        <v>6.3430557622407013E-2</v>
      </c>
    </row>
    <row r="20" spans="1:19" x14ac:dyDescent="0.2">
      <c r="A20" s="30">
        <f t="shared" si="0"/>
        <v>5</v>
      </c>
      <c r="B20" s="30">
        <f t="shared" si="0"/>
        <v>37</v>
      </c>
      <c r="C20" s="30">
        <f t="shared" si="1"/>
        <v>83</v>
      </c>
      <c r="D20" s="31">
        <f>VLOOKUP(C20,'Bala Table'!$A:$B,2,FALSE)</f>
        <v>0.81200000000000006</v>
      </c>
      <c r="E20" s="21">
        <f>E19*(1+Assumptions!$G$34)</f>
        <v>1932123.4571666669</v>
      </c>
      <c r="F20" s="21">
        <f t="shared" si="2"/>
        <v>1568884.2472193337</v>
      </c>
      <c r="G20" s="21">
        <f>IF(A20&lt;=Assumptions!$C$26,PV('Scenario Tables'!G$27/12,(Assumptions!$C$26-A20)*12,-$C$11),0)</f>
        <v>926570.31262847001</v>
      </c>
      <c r="H20" s="21">
        <f t="shared" si="3"/>
        <v>642313.93459086365</v>
      </c>
      <c r="I20" s="21">
        <f>IF(A20&lt;=Assumptions!$C$26,G19*'Scenario Tables'!G$27,0)</f>
        <v>24766.427053996504</v>
      </c>
      <c r="J20" s="21">
        <f>IF(A20&lt;=Assumptions!$C$26,$C$12-I20,0)</f>
        <v>25676.37659958591</v>
      </c>
      <c r="K20" s="21">
        <f>IF(Assumptions!$C$39="Investment",Assumptions!$G$35*12*(1+Assumptions!$G$36)^(A20-1)*(1-Assumptions!$C$40),Assumptions!$G$35*12*(1+Assumptions!$G$36)^(A20-1))</f>
        <v>58451.336640000001</v>
      </c>
      <c r="L20" s="21">
        <f>IF(Assumptions!$C$39="Investment",_xlfn.LET(_xlpm.gr,Assumptions!$G$35*12*(1+Assumptions!$G$36)^(A20-1),Assumptions!$G$37*(1+Assumptions!$G$36)^(A20-1)+MIN(_xlpm.gr,30000)*0.12+MAX(0,MIN(_xlpm.gr,45000)-30000)*0.2+MAX(0,MIN(_xlpm.gr,60000)-45000)*0.28+MAX(0,_xlpm.gr-60000)*0.36+K20*Assumptions!$C$41),Assumptions!$G$37*(1+Assumptions!$G$36)^(A20-1)+MAX(0,MIN(K20,25000)-12000)*0.04+MAX(0,MIN(K20,38000)-25000)*0.06+MAX(0,MIN(K20,50000)-38000)*0.08+MAX(0,MIN(K20,65000)-50000)*0.1+MAX(0,MIN(K20,80000)-65000)*0.12+MAX(0,MIN(K20,95000)-80000)*0.14+MAX(0,MIN(K20,110000)-95000)*0.16+MAX(0,K20-110000)*0.23)</f>
        <v>4533.9441151999999</v>
      </c>
      <c r="M20" s="21">
        <f>IF(Assumptions!$C$39="Investment",(K20-I20-L20)*(1-Assumptions!$C$42),K20-I20-L20)</f>
        <v>29150.965470803501</v>
      </c>
      <c r="N20" s="21">
        <f t="shared" si="4"/>
        <v>129498.71479919396</v>
      </c>
      <c r="O20" s="31">
        <f t="shared" si="5"/>
        <v>0.55825796843974684</v>
      </c>
      <c r="P20" s="21">
        <f>Assumptions!$C$8*(1+Assumptions!$C$9)^A20-Assumptions!$C$8+$C$7*((1+Assumptions!$C$9)^A20-1)</f>
        <v>39422.463867187391</v>
      </c>
      <c r="Q20" s="21">
        <f t="shared" si="6"/>
        <v>602891.47072367626</v>
      </c>
      <c r="R20" s="21">
        <f>N20/(1+Assumptions!$C$43)^A20</f>
        <v>114457.99431518962</v>
      </c>
      <c r="S20">
        <f>((H20/$C$10)^(1/A20))/(1+Assumptions!$C$43)-1</f>
        <v>6.6114882344129766E-2</v>
      </c>
    </row>
    <row r="21" spans="1:19" x14ac:dyDescent="0.2">
      <c r="A21" s="30">
        <f t="shared" si="0"/>
        <v>6</v>
      </c>
      <c r="B21" s="30">
        <f t="shared" si="0"/>
        <v>38</v>
      </c>
      <c r="C21" s="30">
        <f t="shared" si="1"/>
        <v>82</v>
      </c>
      <c r="D21" s="31">
        <f>VLOOKUP(C21,'Bala Table'!$A:$B,2,FALSE)</f>
        <v>0.80600000000000005</v>
      </c>
      <c r="E21" s="21">
        <f>E20*(1+Assumptions!$G$34)</f>
        <v>1990087.1608816669</v>
      </c>
      <c r="F21" s="21">
        <f t="shared" si="2"/>
        <v>1604010.2516706237</v>
      </c>
      <c r="G21" s="21">
        <f>IF(A21&lt;=Assumptions!$C$26,PV('Scenario Tables'!G$27/12,(Assumptions!$C$26-A21)*12,-$C$11),0)</f>
        <v>899902.03032217361</v>
      </c>
      <c r="H21" s="21">
        <f t="shared" si="3"/>
        <v>704108.22134845005</v>
      </c>
      <c r="I21" s="21">
        <f>IF(A21&lt;=Assumptions!$C$26,G20*'Scenario Tables'!G$27,0)</f>
        <v>24090.828128340218</v>
      </c>
      <c r="J21" s="21">
        <f>IF(A21&lt;=Assumptions!$C$26,$C$12-I21,0)</f>
        <v>26351.975525242196</v>
      </c>
      <c r="K21" s="21">
        <f>IF(Assumptions!$C$39="Investment",Assumptions!$G$35*12*(1+Assumptions!$G$36)^(A21-1)*(1-Assumptions!$C$40),Assumptions!$G$35*12*(1+Assumptions!$G$36)^(A21-1))</f>
        <v>59620.363372799999</v>
      </c>
      <c r="L21" s="21">
        <f>IF(Assumptions!$C$39="Investment",_xlfn.LET(_xlpm.gr,Assumptions!$G$35*12*(1+Assumptions!$G$36)^(A21-1),Assumptions!$G$37*(1+Assumptions!$G$36)^(A21-1)+MIN(_xlpm.gr,30000)*0.12+MAX(0,MIN(_xlpm.gr,45000)-30000)*0.2+MAX(0,MIN(_xlpm.gr,60000)-45000)*0.28+MAX(0,_xlpm.gr-60000)*0.36+K21*Assumptions!$C$41),Assumptions!$G$37*(1+Assumptions!$G$36)^(A21-1)+MAX(0,MIN(K21,25000)-12000)*0.04+MAX(0,MIN(K21,38000)-25000)*0.06+MAX(0,MIN(K21,50000)-38000)*0.08+MAX(0,MIN(K21,65000)-50000)*0.1+MAX(0,MIN(K21,80000)-65000)*0.12+MAX(0,MIN(K21,95000)-80000)*0.14+MAX(0,MIN(K21,110000)-95000)*0.16+MAX(0,K21-110000)*0.23)</f>
        <v>4679.4229975039998</v>
      </c>
      <c r="M21" s="21">
        <f>IF(Assumptions!$C$39="Investment",(K21-I21-L21)*(1-Assumptions!$C$42),K21-I21-L21)</f>
        <v>30850.112246955781</v>
      </c>
      <c r="N21" s="21">
        <f t="shared" si="4"/>
        <v>160348.82704614973</v>
      </c>
      <c r="O21" s="31">
        <f t="shared" si="5"/>
        <v>0.70817132787105785</v>
      </c>
      <c r="P21" s="21">
        <f>Assumptions!$C$8*(1+Assumptions!$C$9)^A21-Assumptions!$C$8+$C$7*((1+Assumptions!$C$9)^A21-1)</f>
        <v>47908.025463867059</v>
      </c>
      <c r="Q21" s="21">
        <f t="shared" si="6"/>
        <v>656200.19588458305</v>
      </c>
      <c r="R21" s="21">
        <f>N21/(1+Assumptions!$C$43)^A21</f>
        <v>138268.29102233791</v>
      </c>
      <c r="S21">
        <f>((H21/$C$10)^(1/A21))/(1+Assumptions!$C$43)-1</f>
        <v>6.6673172824482485E-2</v>
      </c>
    </row>
    <row r="22" spans="1:19" x14ac:dyDescent="0.2">
      <c r="A22" s="30">
        <f t="shared" si="0"/>
        <v>7</v>
      </c>
      <c r="B22" s="30">
        <f t="shared" si="0"/>
        <v>39</v>
      </c>
      <c r="C22" s="30">
        <f t="shared" si="1"/>
        <v>81</v>
      </c>
      <c r="D22" s="31">
        <f>VLOOKUP(C22,'Bala Table'!$A:$B,2,FALSE)</f>
        <v>0.8</v>
      </c>
      <c r="E22" s="21">
        <f>E21*(1+Assumptions!$G$34)</f>
        <v>2049789.7757081171</v>
      </c>
      <c r="F22" s="21">
        <f t="shared" si="2"/>
        <v>1639831.8205664938</v>
      </c>
      <c r="G22" s="21">
        <f>IF(A22&lt;=Assumptions!$C$26,PV('Scenario Tables'!G$27/12,(Assumptions!$C$26-A22)*12,-$C$11),0)</f>
        <v>872532.04998596397</v>
      </c>
      <c r="H22" s="21">
        <f t="shared" si="3"/>
        <v>767299.77058052982</v>
      </c>
      <c r="I22" s="21">
        <f>IF(A22&lt;=Assumptions!$C$26,G21*'Scenario Tables'!G$27,0)</f>
        <v>23397.452788376511</v>
      </c>
      <c r="J22" s="21">
        <f>IF(A22&lt;=Assumptions!$C$26,$C$12-I22,0)</f>
        <v>27045.350865205903</v>
      </c>
      <c r="K22" s="21">
        <f>IF(Assumptions!$C$39="Investment",Assumptions!$G$35*12*(1+Assumptions!$G$36)^(A22-1)*(1-Assumptions!$C$40),Assumptions!$G$35*12*(1+Assumptions!$G$36)^(A22-1))</f>
        <v>60812.770640256007</v>
      </c>
      <c r="L22" s="21">
        <f>IF(Assumptions!$C$39="Investment",_xlfn.LET(_xlpm.gr,Assumptions!$G$35*12*(1+Assumptions!$G$36)^(A22-1),Assumptions!$G$37*(1+Assumptions!$G$36)^(A22-1)+MIN(_xlpm.gr,30000)*0.12+MAX(0,MIN(_xlpm.gr,45000)-30000)*0.2+MAX(0,MIN(_xlpm.gr,60000)-45000)*0.28+MAX(0,_xlpm.gr-60000)*0.36+K22*Assumptions!$C$41),Assumptions!$G$37*(1+Assumptions!$G$36)^(A22-1)+MAX(0,MIN(K22,25000)-12000)*0.04+MAX(0,MIN(K22,38000)-25000)*0.06+MAX(0,MIN(K22,50000)-38000)*0.08+MAX(0,MIN(K22,65000)-50000)*0.1+MAX(0,MIN(K22,80000)-65000)*0.12+MAX(0,MIN(K22,95000)-80000)*0.14+MAX(0,MIN(K22,110000)-95000)*0.16+MAX(0,K22-110000)*0.23)</f>
        <v>4827.8114574540814</v>
      </c>
      <c r="M22" s="21">
        <f>IF(Assumptions!$C$39="Investment",(K22-I22-L22)*(1-Assumptions!$C$42),K22-I22-L22)</f>
        <v>32587.506394425414</v>
      </c>
      <c r="N22" s="21">
        <f t="shared" si="4"/>
        <v>192936.33344057514</v>
      </c>
      <c r="O22" s="31">
        <f t="shared" si="5"/>
        <v>0.86147445555684088</v>
      </c>
      <c r="P22" s="21">
        <f>Assumptions!$C$8*(1+Assumptions!$C$9)^A22-Assumptions!$C$8+$C$7*((1+Assumptions!$C$9)^A22-1)</f>
        <v>56605.726100463755</v>
      </c>
      <c r="Q22" s="21">
        <f t="shared" si="6"/>
        <v>710694.04448006605</v>
      </c>
      <c r="R22" s="21">
        <f>N22/(1+Assumptions!$C$43)^A22</f>
        <v>162310.62990801837</v>
      </c>
      <c r="S22">
        <f>((H22/$C$10)^(1/A22))/(1+Assumptions!$C$43)-1</f>
        <v>6.6171689072738404E-2</v>
      </c>
    </row>
    <row r="23" spans="1:19" x14ac:dyDescent="0.2">
      <c r="A23" s="30">
        <f t="shared" si="0"/>
        <v>8</v>
      </c>
      <c r="B23" s="30">
        <f t="shared" si="0"/>
        <v>40</v>
      </c>
      <c r="C23" s="30">
        <f t="shared" si="1"/>
        <v>80</v>
      </c>
      <c r="D23" s="31">
        <f>VLOOKUP(C23,'Bala Table'!$A:$B,2,FALSE)</f>
        <v>0.79400000000000004</v>
      </c>
      <c r="E23" s="21">
        <f>E22*(1+Assumptions!$G$34)</f>
        <v>2111283.4689793605</v>
      </c>
      <c r="F23" s="21">
        <f t="shared" si="2"/>
        <v>1676359.0743696124</v>
      </c>
      <c r="G23" s="21">
        <f>IF(A23&lt;=Assumptions!$C$26,PV('Scenario Tables'!G$27/12,(Assumptions!$C$26-A23)*12,-$C$11),0)</f>
        <v>844441.90848376357</v>
      </c>
      <c r="H23" s="21">
        <f t="shared" si="3"/>
        <v>831917.16588584881</v>
      </c>
      <c r="I23" s="21">
        <f>IF(A23&lt;=Assumptions!$C$26,G22*'Scenario Tables'!G$27,0)</f>
        <v>22685.833299635062</v>
      </c>
      <c r="J23" s="21">
        <f>IF(A23&lt;=Assumptions!$C$26,$C$12-I23,0)</f>
        <v>27756.970353947352</v>
      </c>
      <c r="K23" s="21">
        <f>IF(Assumptions!$C$39="Investment",Assumptions!$G$35*12*(1+Assumptions!$G$36)^(A23-1)*(1-Assumptions!$C$40),Assumptions!$G$35*12*(1+Assumptions!$G$36)^(A23-1))</f>
        <v>62029.026053061112</v>
      </c>
      <c r="L23" s="21">
        <f>IF(Assumptions!$C$39="Investment",_xlfn.LET(_xlpm.gr,Assumptions!$G$35*12*(1+Assumptions!$G$36)^(A23-1),Assumptions!$G$37*(1+Assumptions!$G$36)^(A23-1)+MIN(_xlpm.gr,30000)*0.12+MAX(0,MIN(_xlpm.gr,45000)-30000)*0.2+MAX(0,MIN(_xlpm.gr,60000)-45000)*0.28+MAX(0,_xlpm.gr-60000)*0.36+K23*Assumptions!$C$41),Assumptions!$G$37*(1+Assumptions!$G$36)^(A23-1)+MAX(0,MIN(K23,25000)-12000)*0.04+MAX(0,MIN(K23,38000)-25000)*0.06+MAX(0,MIN(K23,50000)-38000)*0.08+MAX(0,MIN(K23,65000)-50000)*0.1+MAX(0,MIN(K23,80000)-65000)*0.12+MAX(0,MIN(K23,95000)-80000)*0.14+MAX(0,MIN(K23,110000)-95000)*0.16+MAX(0,K23-110000)*0.23)</f>
        <v>4979.1676866031612</v>
      </c>
      <c r="M23" s="21">
        <f>IF(Assumptions!$C$39="Investment",(K23-I23-L23)*(1-Assumptions!$C$42),K23-I23-L23)</f>
        <v>34364.025066822884</v>
      </c>
      <c r="N23" s="21">
        <f t="shared" si="4"/>
        <v>227300.35850739802</v>
      </c>
      <c r="O23" s="31">
        <f t="shared" si="5"/>
        <v>1.0182366955018167</v>
      </c>
      <c r="P23" s="21">
        <f>Assumptions!$C$8*(1+Assumptions!$C$9)^A23-Assumptions!$C$8+$C$7*((1+Assumptions!$C$9)^A23-1)</f>
        <v>65520.869252975317</v>
      </c>
      <c r="Q23" s="21">
        <f t="shared" si="6"/>
        <v>766396.29663287348</v>
      </c>
      <c r="R23" s="21">
        <f>N23/(1+Assumptions!$C$43)^A23</f>
        <v>186555.98978953331</v>
      </c>
      <c r="S23">
        <f>((H23/$C$10)^(1/A23))/(1+Assumptions!$C$43)-1</f>
        <v>6.5117810580191948E-2</v>
      </c>
    </row>
    <row r="24" spans="1:19" x14ac:dyDescent="0.2">
      <c r="A24" s="30">
        <f t="shared" si="0"/>
        <v>9</v>
      </c>
      <c r="B24" s="30">
        <f t="shared" si="0"/>
        <v>41</v>
      </c>
      <c r="C24" s="30">
        <f t="shared" si="1"/>
        <v>79</v>
      </c>
      <c r="D24" s="31">
        <f>VLOOKUP(C24,'Bala Table'!$A:$B,2,FALSE)</f>
        <v>0.78800000000000003</v>
      </c>
      <c r="E24" s="21">
        <f>E23*(1+Assumptions!$G$34)</f>
        <v>2174621.9730487415</v>
      </c>
      <c r="F24" s="21">
        <f t="shared" si="2"/>
        <v>1713602.1147624084</v>
      </c>
      <c r="G24" s="21">
        <f>IF(A24&lt;=Assumptions!$C$26,PV('Scenario Tables'!G$27/12,(Assumptions!$C$26-A24)*12,-$C$11),0)</f>
        <v>815612.65687594458</v>
      </c>
      <c r="H24" s="21">
        <f t="shared" si="3"/>
        <v>897989.45788646385</v>
      </c>
      <c r="I24" s="21">
        <f>IF(A24&lt;=Assumptions!$C$26,G23*'Scenario Tables'!G$27,0)</f>
        <v>21955.489620577853</v>
      </c>
      <c r="J24" s="21">
        <f>IF(A24&lt;=Assumptions!$C$26,$C$12-I24,0)</f>
        <v>28487.314033004561</v>
      </c>
      <c r="K24" s="21">
        <f>IF(Assumptions!$C$39="Investment",Assumptions!$G$35*12*(1+Assumptions!$G$36)^(A24-1)*(1-Assumptions!$C$40),Assumptions!$G$35*12*(1+Assumptions!$G$36)^(A24-1))</f>
        <v>63269.606574122336</v>
      </c>
      <c r="L24" s="21">
        <f>IF(Assumptions!$C$39="Investment",_xlfn.LET(_xlpm.gr,Assumptions!$G$35*12*(1+Assumptions!$G$36)^(A24-1),Assumptions!$G$37*(1+Assumptions!$G$36)^(A24-1)+MIN(_xlpm.gr,30000)*0.12+MAX(0,MIN(_xlpm.gr,45000)-30000)*0.2+MAX(0,MIN(_xlpm.gr,60000)-45000)*0.28+MAX(0,_xlpm.gr-60000)*0.36+K24*Assumptions!$C$41),Assumptions!$G$37*(1+Assumptions!$G$36)^(A24-1)+MAX(0,MIN(K24,25000)-12000)*0.04+MAX(0,MIN(K24,38000)-25000)*0.06+MAX(0,MIN(K24,50000)-38000)*0.08+MAX(0,MIN(K24,65000)-50000)*0.1+MAX(0,MIN(K24,80000)-65000)*0.12+MAX(0,MIN(K24,95000)-80000)*0.14+MAX(0,MIN(K24,110000)-95000)*0.16+MAX(0,K24-110000)*0.23)</f>
        <v>5133.5510403352237</v>
      </c>
      <c r="M24" s="21">
        <f>IF(Assumptions!$C$39="Investment",(K24-I24-L24)*(1-Assumptions!$C$42),K24-I24-L24)</f>
        <v>36180.565913209255</v>
      </c>
      <c r="N24" s="21">
        <f t="shared" si="4"/>
        <v>263480.92442060728</v>
      </c>
      <c r="O24" s="31">
        <f t="shared" si="5"/>
        <v>1.1785285247124304</v>
      </c>
      <c r="P24" s="21">
        <f>Assumptions!$C$8*(1+Assumptions!$C$9)^A24-Assumptions!$C$8+$C$7*((1+Assumptions!$C$9)^A24-1)</f>
        <v>74658.890984299651</v>
      </c>
      <c r="Q24" s="21">
        <f t="shared" si="6"/>
        <v>823330.56690216414</v>
      </c>
      <c r="R24" s="21">
        <f>N24/(1+Assumptions!$C$43)^A24</f>
        <v>210976.64896866039</v>
      </c>
      <c r="S24">
        <f>((H24/$C$10)^(1/A24))/(1+Assumptions!$C$43)-1</f>
        <v>6.3775121198134777E-2</v>
      </c>
    </row>
    <row r="25" spans="1:19" x14ac:dyDescent="0.2">
      <c r="A25" s="30">
        <f t="shared" si="0"/>
        <v>10</v>
      </c>
      <c r="B25" s="30">
        <f t="shared" si="0"/>
        <v>42</v>
      </c>
      <c r="C25" s="30">
        <f t="shared" si="1"/>
        <v>78</v>
      </c>
      <c r="D25" s="31">
        <f>VLOOKUP(C25,'Bala Table'!$A:$B,2,FALSE)</f>
        <v>0.78200000000000003</v>
      </c>
      <c r="E25" s="21">
        <f>E24*(1+Assumptions!$G$34)</f>
        <v>2239860.6322402037</v>
      </c>
      <c r="F25" s="21">
        <f t="shared" si="2"/>
        <v>1751571.0144118394</v>
      </c>
      <c r="G25" s="21">
        <f>IF(A25&lt;=Assumptions!$C$26,PV('Scenario Tables'!G$27/12,(Assumptions!$C$26-A25)*12,-$C$11),0)</f>
        <v>786024.8476368275</v>
      </c>
      <c r="H25" s="21">
        <f t="shared" si="3"/>
        <v>965546.16677501192</v>
      </c>
      <c r="I25" s="21">
        <f>IF(A25&lt;=Assumptions!$C$26,G24*'Scenario Tables'!G$27,0)</f>
        <v>21205.929078774559</v>
      </c>
      <c r="J25" s="21">
        <f>IF(A25&lt;=Assumptions!$C$26,$C$12-I25,0)</f>
        <v>29236.874574807855</v>
      </c>
      <c r="K25" s="21">
        <f>IF(Assumptions!$C$39="Investment",Assumptions!$G$35*12*(1+Assumptions!$G$36)^(A25-1)*(1-Assumptions!$C$40),Assumptions!$G$35*12*(1+Assumptions!$G$36)^(A25-1))</f>
        <v>64534.998705604783</v>
      </c>
      <c r="L25" s="21">
        <f>IF(Assumptions!$C$39="Investment",_xlfn.LET(_xlpm.gr,Assumptions!$G$35*12*(1+Assumptions!$G$36)^(A25-1),Assumptions!$G$37*(1+Assumptions!$G$36)^(A25-1)+MIN(_xlpm.gr,30000)*0.12+MAX(0,MIN(_xlpm.gr,45000)-30000)*0.2+MAX(0,MIN(_xlpm.gr,60000)-45000)*0.28+MAX(0,_xlpm.gr-60000)*0.36+K25*Assumptions!$C$41),Assumptions!$G$37*(1+Assumptions!$G$36)^(A25-1)+MAX(0,MIN(K25,25000)-12000)*0.04+MAX(0,MIN(K25,38000)-25000)*0.06+MAX(0,MIN(K25,50000)-38000)*0.08+MAX(0,MIN(K25,65000)-50000)*0.1+MAX(0,MIN(K25,80000)-65000)*0.12+MAX(0,MIN(K25,95000)-80000)*0.14+MAX(0,MIN(K25,110000)-95000)*0.16+MAX(0,K25-110000)*0.23)</f>
        <v>5291.022061141929</v>
      </c>
      <c r="M25" s="21">
        <f>IF(Assumptions!$C$39="Investment",(K25-I25-L25)*(1-Assumptions!$C$42),K25-I25-L25)</f>
        <v>38038.047565688299</v>
      </c>
      <c r="N25" s="21">
        <f t="shared" si="4"/>
        <v>301518.9719862956</v>
      </c>
      <c r="O25" s="31">
        <f t="shared" si="5"/>
        <v>1.3424215593765452</v>
      </c>
      <c r="P25" s="21">
        <f>Assumptions!$C$8*(1+Assumptions!$C$9)^A25-Assumptions!$C$8+$C$7*((1+Assumptions!$C$9)^A25-1)</f>
        <v>84025.363258907106</v>
      </c>
      <c r="Q25" s="21">
        <f t="shared" si="6"/>
        <v>881520.80351610482</v>
      </c>
      <c r="R25" s="21">
        <f>N25/(1+Assumptions!$C$43)^A25</f>
        <v>235546.13900567839</v>
      </c>
      <c r="S25">
        <f>((H25/$C$10)^(1/A25))/(1+Assumptions!$C$43)-1</f>
        <v>6.2288892093616877E-2</v>
      </c>
    </row>
    <row r="26" spans="1:19" x14ac:dyDescent="0.2">
      <c r="A26" s="30">
        <f t="shared" si="0"/>
        <v>11</v>
      </c>
      <c r="B26" s="30">
        <f t="shared" si="0"/>
        <v>43</v>
      </c>
      <c r="C26" s="30">
        <f t="shared" si="1"/>
        <v>77</v>
      </c>
      <c r="D26" s="31">
        <f>VLOOKUP(C26,'Bala Table'!$A:$B,2,FALSE)</f>
        <v>0.77600000000000002</v>
      </c>
      <c r="E26" s="21">
        <f>E25*(1+Assumptions!$G$34)</f>
        <v>2307056.4512074096</v>
      </c>
      <c r="F26" s="21">
        <f t="shared" si="2"/>
        <v>1790275.8061369499</v>
      </c>
      <c r="G26" s="21">
        <f>IF(A26&lt;=Assumptions!$C$26,PV('Scenario Tables'!G$27/12,(Assumptions!$C$26-A26)*12,-$C$11),0)</f>
        <v>755658.52153584082</v>
      </c>
      <c r="H26" s="21">
        <f t="shared" si="3"/>
        <v>1034617.2846011091</v>
      </c>
      <c r="I26" s="21">
        <f>IF(A26&lt;=Assumptions!$C$26,G25*'Scenario Tables'!G$27,0)</f>
        <v>20436.646038557516</v>
      </c>
      <c r="J26" s="21">
        <f>IF(A26&lt;=Assumptions!$C$26,$C$12-I26,0)</f>
        <v>30006.157615024898</v>
      </c>
      <c r="K26" s="21">
        <f>IF(Assumptions!$C$39="Investment",Assumptions!$G$35*12*(1+Assumptions!$G$36)^(A26-1)*(1-Assumptions!$C$40),Assumptions!$G$35*12*(1+Assumptions!$G$36)^(A26-1))</f>
        <v>65825.698679716879</v>
      </c>
      <c r="L26" s="21">
        <f>IF(Assumptions!$C$39="Investment",_xlfn.LET(_xlpm.gr,Assumptions!$G$35*12*(1+Assumptions!$G$36)^(A26-1),Assumptions!$G$37*(1+Assumptions!$G$36)^(A26-1)+MIN(_xlpm.gr,30000)*0.12+MAX(0,MIN(_xlpm.gr,45000)-30000)*0.2+MAX(0,MIN(_xlpm.gr,60000)-45000)*0.28+MAX(0,_xlpm.gr-60000)*0.36+K26*Assumptions!$C$41),Assumptions!$G$37*(1+Assumptions!$G$36)^(A26-1)+MAX(0,MIN(K26,25000)-12000)*0.04+MAX(0,MIN(K26,38000)-25000)*0.06+MAX(0,MIN(K26,50000)-38000)*0.08+MAX(0,MIN(K26,65000)-50000)*0.1+MAX(0,MIN(K26,80000)-65000)*0.12+MAX(0,MIN(K26,95000)-80000)*0.14+MAX(0,MIN(K26,110000)-95000)*0.16+MAX(0,K26-110000)*0.23)</f>
        <v>5468.1564759591047</v>
      </c>
      <c r="M26" s="21">
        <f>IF(Assumptions!$C$39="Investment",(K26-I26-L26)*(1-Assumptions!$C$42),K26-I26-L26)</f>
        <v>39920.896165200254</v>
      </c>
      <c r="N26" s="21">
        <f t="shared" si="4"/>
        <v>341439.86815149587</v>
      </c>
      <c r="O26" s="31">
        <f t="shared" si="5"/>
        <v>1.5099885604102599</v>
      </c>
      <c r="P26" s="21">
        <f>Assumptions!$C$8*(1+Assumptions!$C$9)^A26-Assumptions!$C$8+$C$7*((1+Assumptions!$C$9)^A26-1)</f>
        <v>93625.997340379807</v>
      </c>
      <c r="Q26" s="21">
        <f t="shared" si="6"/>
        <v>940991.28726072935</v>
      </c>
      <c r="R26" s="21">
        <f>N26/(1+Assumptions!$C$43)^A26</f>
        <v>260226.61393696739</v>
      </c>
      <c r="S26">
        <f>((H26/$C$10)^(1/A26))/(1+Assumptions!$C$43)-1</f>
        <v>6.0742401289671788E-2</v>
      </c>
    </row>
    <row r="27" spans="1:19" x14ac:dyDescent="0.2">
      <c r="A27" s="30">
        <f t="shared" si="0"/>
        <v>12</v>
      </c>
      <c r="B27" s="30">
        <f t="shared" si="0"/>
        <v>44</v>
      </c>
      <c r="C27" s="30">
        <f t="shared" si="1"/>
        <v>76</v>
      </c>
      <c r="D27" s="31">
        <f>VLOOKUP(C27,'Bala Table'!$A:$B,2,FALSE)</f>
        <v>0.77</v>
      </c>
      <c r="E27" s="21">
        <f>E26*(1+Assumptions!$G$34)</f>
        <v>2376268.1447436321</v>
      </c>
      <c r="F27" s="21">
        <f t="shared" si="2"/>
        <v>1829726.4714525968</v>
      </c>
      <c r="G27" s="21">
        <f>IF(A27&lt;=Assumptions!$C$26,PV('Scenario Tables'!G$27/12,(Assumptions!$C$26-A27)*12,-$C$11),0)</f>
        <v>724493.19417350518</v>
      </c>
      <c r="H27" s="21">
        <f t="shared" si="3"/>
        <v>1105233.2772790915</v>
      </c>
      <c r="I27" s="21">
        <f>IF(A27&lt;=Assumptions!$C$26,G26*'Scenario Tables'!G$27,0)</f>
        <v>19647.12155993186</v>
      </c>
      <c r="J27" s="21">
        <f>IF(A27&lt;=Assumptions!$C$26,$C$12-I27,0)</f>
        <v>30795.682093650554</v>
      </c>
      <c r="K27" s="21">
        <f>IF(Assumptions!$C$39="Investment",Assumptions!$G$35*12*(1+Assumptions!$G$36)^(A27-1)*(1-Assumptions!$C$40),Assumptions!$G$35*12*(1+Assumptions!$G$36)^(A27-1))</f>
        <v>67142.212653311202</v>
      </c>
      <c r="L27" s="21">
        <f>IF(Assumptions!$C$39="Investment",_xlfn.LET(_xlpm.gr,Assumptions!$G$35*12*(1+Assumptions!$G$36)^(A27-1),Assumptions!$G$37*(1+Assumptions!$G$36)^(A27-1)+MIN(_xlpm.gr,30000)*0.12+MAX(0,MIN(_xlpm.gr,45000)-30000)*0.2+MAX(0,MIN(_xlpm.gr,60000)-45000)*0.28+MAX(0,_xlpm.gr-60000)*0.36+K27*Assumptions!$C$41),Assumptions!$G$37*(1+Assumptions!$G$36)^(A27-1)+MAX(0,MIN(K27,25000)-12000)*0.04+MAX(0,MIN(K27,38000)-25000)*0.06+MAX(0,MIN(K27,50000)-38000)*0.08+MAX(0,MIN(K27,65000)-50000)*0.1+MAX(0,MIN(K27,80000)-65000)*0.12+MAX(0,MIN(K27,95000)-80000)*0.14+MAX(0,MIN(K27,110000)-95000)*0.16+MAX(0,K27-110000)*0.23)</f>
        <v>5658.3196054782848</v>
      </c>
      <c r="M27" s="21">
        <f>IF(Assumptions!$C$39="Investment",(K27-I27-L27)*(1-Assumptions!$C$42),K27-I27-L27)</f>
        <v>41836.77148790106</v>
      </c>
      <c r="N27" s="21">
        <f t="shared" si="4"/>
        <v>383276.63963939692</v>
      </c>
      <c r="O27" s="31">
        <f t="shared" si="5"/>
        <v>1.6813034383287033</v>
      </c>
      <c r="P27" s="21">
        <f>Assumptions!$C$8*(1+Assumptions!$C$9)^A27-Assumptions!$C$8+$C$7*((1+Assumptions!$C$9)^A27-1)</f>
        <v>103466.64727388928</v>
      </c>
      <c r="Q27" s="21">
        <f t="shared" si="6"/>
        <v>1001766.6300052023</v>
      </c>
      <c r="R27" s="21">
        <f>N27/(1+Assumptions!$C$43)^A27</f>
        <v>284987.6010042635</v>
      </c>
      <c r="S27">
        <f>((H27/$C$10)^(1/A27))/(1+Assumptions!$C$43)-1</f>
        <v>5.918453653280431E-2</v>
      </c>
    </row>
    <row r="28" spans="1:19" x14ac:dyDescent="0.2">
      <c r="A28" s="30">
        <f t="shared" si="0"/>
        <v>13</v>
      </c>
      <c r="B28" s="30">
        <f t="shared" si="0"/>
        <v>45</v>
      </c>
      <c r="C28" s="30">
        <f t="shared" si="1"/>
        <v>75</v>
      </c>
      <c r="D28" s="31">
        <f>VLOOKUP(C28,'Bala Table'!$A:$B,2,FALSE)</f>
        <v>0.76400000000000001</v>
      </c>
      <c r="E28" s="21">
        <f>E27*(1+Assumptions!$G$34)</f>
        <v>2447556.1890859413</v>
      </c>
      <c r="F28" s="21">
        <f t="shared" si="2"/>
        <v>1869932.9284616592</v>
      </c>
      <c r="G28" s="21">
        <f>IF(A28&lt;=Assumptions!$C$26,PV('Scenario Tables'!G$27/12,(Assumptions!$C$26-A28)*12,-$C$11),0)</f>
        <v>692507.84216314054</v>
      </c>
      <c r="H28" s="21">
        <f t="shared" si="3"/>
        <v>1177425.0862985188</v>
      </c>
      <c r="I28" s="21">
        <f>IF(A28&lt;=Assumptions!$C$26,G27*'Scenario Tables'!G$27,0)</f>
        <v>18836.823048511134</v>
      </c>
      <c r="J28" s="21">
        <f>IF(A28&lt;=Assumptions!$C$26,$C$12-I28,0)</f>
        <v>31605.98060507128</v>
      </c>
      <c r="K28" s="21">
        <f>IF(Assumptions!$C$39="Investment",Assumptions!$G$35*12*(1+Assumptions!$G$36)^(A28-1)*(1-Assumptions!$C$40),Assumptions!$G$35*12*(1+Assumptions!$G$36)^(A28-1))</f>
        <v>68485.056906377446</v>
      </c>
      <c r="L28" s="21">
        <f>IF(Assumptions!$C$39="Investment",_xlfn.LET(_xlpm.gr,Assumptions!$G$35*12*(1+Assumptions!$G$36)^(A28-1),Assumptions!$G$37*(1+Assumptions!$G$36)^(A28-1)+MIN(_xlpm.gr,30000)*0.12+MAX(0,MIN(_xlpm.gr,45000)-30000)*0.2+MAX(0,MIN(_xlpm.gr,60000)-45000)*0.28+MAX(0,_xlpm.gr-60000)*0.36+K28*Assumptions!$C$41),Assumptions!$G$37*(1+Assumptions!$G$36)^(A28-1)+MAX(0,MIN(K28,25000)-12000)*0.04+MAX(0,MIN(K28,38000)-25000)*0.06+MAX(0,MIN(K28,50000)-38000)*0.08+MAX(0,MIN(K28,65000)-50000)*0.1+MAX(0,MIN(K28,80000)-65000)*0.12+MAX(0,MIN(K28,95000)-80000)*0.14+MAX(0,MIN(K28,110000)-95000)*0.16+MAX(0,K28-110000)*0.23)</f>
        <v>5852.2859975878537</v>
      </c>
      <c r="M28" s="21">
        <f>IF(Assumptions!$C$39="Investment",(K28-I28-L28)*(1-Assumptions!$C$42),K28-I28-L28)</f>
        <v>43795.947860278458</v>
      </c>
      <c r="N28" s="21">
        <f t="shared" si="4"/>
        <v>427072.5874996754</v>
      </c>
      <c r="O28" s="31">
        <f t="shared" si="5"/>
        <v>1.8564412573957274</v>
      </c>
      <c r="P28" s="21">
        <f>Assumptions!$C$8*(1+Assumptions!$C$9)^A28-Assumptions!$C$8+$C$7*((1+Assumptions!$C$9)^A28-1)</f>
        <v>113553.31345573648</v>
      </c>
      <c r="Q28" s="21">
        <f t="shared" si="6"/>
        <v>1063871.7728427823</v>
      </c>
      <c r="R28" s="21">
        <f>N28/(1+Assumptions!$C$43)^A28</f>
        <v>309807.156855523</v>
      </c>
      <c r="S28">
        <f>((H28/$C$10)^(1/A28))/(1+Assumptions!$C$43)-1</f>
        <v>5.7644265493732361E-2</v>
      </c>
    </row>
    <row r="29" spans="1:19" x14ac:dyDescent="0.2">
      <c r="A29" s="30">
        <f t="shared" si="0"/>
        <v>14</v>
      </c>
      <c r="B29" s="30">
        <f t="shared" si="0"/>
        <v>46</v>
      </c>
      <c r="C29" s="30">
        <f t="shared" si="1"/>
        <v>74</v>
      </c>
      <c r="D29" s="31">
        <f>VLOOKUP(C29,'Bala Table'!$A:$B,2,FALSE)</f>
        <v>0.75800000000000001</v>
      </c>
      <c r="E29" s="21">
        <f>E28*(1+Assumptions!$G$34)</f>
        <v>2520982.8747585197</v>
      </c>
      <c r="F29" s="21">
        <f t="shared" si="2"/>
        <v>1910905.019066958</v>
      </c>
      <c r="G29" s="21">
        <f>IF(A29&lt;=Assumptions!$C$26,PV('Scenario Tables'!G$27/12,(Assumptions!$C$26-A29)*12,-$C$11),0)</f>
        <v>659680.8889489955</v>
      </c>
      <c r="H29" s="21">
        <f t="shared" si="3"/>
        <v>1251224.1301179626</v>
      </c>
      <c r="I29" s="21">
        <f>IF(A29&lt;=Assumptions!$C$26,G28*'Scenario Tables'!G$27,0)</f>
        <v>18005.203896241652</v>
      </c>
      <c r="J29" s="21">
        <f>IF(A29&lt;=Assumptions!$C$26,$C$12-I29,0)</f>
        <v>32437.599757340762</v>
      </c>
      <c r="K29" s="21">
        <f>IF(Assumptions!$C$39="Investment",Assumptions!$G$35*12*(1+Assumptions!$G$36)^(A29-1)*(1-Assumptions!$C$40),Assumptions!$G$35*12*(1+Assumptions!$G$36)^(A29-1))</f>
        <v>69854.758044504983</v>
      </c>
      <c r="L29" s="21">
        <f>IF(Assumptions!$C$39="Investment",_xlfn.LET(_xlpm.gr,Assumptions!$G$35*12*(1+Assumptions!$G$36)^(A29-1),Assumptions!$G$37*(1+Assumptions!$G$36)^(A29-1)+MIN(_xlpm.gr,30000)*0.12+MAX(0,MIN(_xlpm.gr,45000)-30000)*0.2+MAX(0,MIN(_xlpm.gr,60000)-45000)*0.28+MAX(0,_xlpm.gr-60000)*0.36+K29*Assumptions!$C$41),Assumptions!$G$37*(1+Assumptions!$G$36)^(A29-1)+MAX(0,MIN(K29,25000)-12000)*0.04+MAX(0,MIN(K29,38000)-25000)*0.06+MAX(0,MIN(K29,50000)-38000)*0.08+MAX(0,MIN(K29,65000)-50000)*0.1+MAX(0,MIN(K29,80000)-65000)*0.12+MAX(0,MIN(K29,95000)-80000)*0.14+MAX(0,MIN(K29,110000)-95000)*0.16+MAX(0,K29-110000)*0.23)</f>
        <v>6050.1317175396089</v>
      </c>
      <c r="M29" s="21">
        <f>IF(Assumptions!$C$39="Investment",(K29-I29-L29)*(1-Assumptions!$C$42),K29-I29-L29)</f>
        <v>45799.422430723716</v>
      </c>
      <c r="N29" s="21">
        <f t="shared" si="4"/>
        <v>472872.00993039913</v>
      </c>
      <c r="O29" s="31">
        <f t="shared" si="5"/>
        <v>2.0354782390052466</v>
      </c>
      <c r="P29" s="21">
        <f>Assumptions!$C$8*(1+Assumptions!$C$9)^A29-Assumptions!$C$8+$C$7*((1+Assumptions!$C$9)^A29-1)</f>
        <v>123892.14629212982</v>
      </c>
      <c r="Q29" s="21">
        <f t="shared" si="6"/>
        <v>1127331.9838258328</v>
      </c>
      <c r="R29" s="21">
        <f>N29/(1+Assumptions!$C$43)^A29</f>
        <v>334664.38154141756</v>
      </c>
      <c r="S29">
        <f>((H29/$C$10)^(1/A29))/(1+Assumptions!$C$43)-1</f>
        <v>5.613863297130095E-2</v>
      </c>
    </row>
    <row r="30" spans="1:19" x14ac:dyDescent="0.2">
      <c r="A30" s="30">
        <f t="shared" si="0"/>
        <v>15</v>
      </c>
      <c r="B30" s="30">
        <f t="shared" si="0"/>
        <v>47</v>
      </c>
      <c r="C30" s="30">
        <f t="shared" si="1"/>
        <v>73</v>
      </c>
      <c r="D30" s="31">
        <f>VLOOKUP(C30,'Bala Table'!$A:$B,2,FALSE)</f>
        <v>0.752</v>
      </c>
      <c r="E30" s="21">
        <f>E29*(1+Assumptions!$G$34)</f>
        <v>2596612.3610012755</v>
      </c>
      <c r="F30" s="21">
        <f t="shared" si="2"/>
        <v>1952652.4954729592</v>
      </c>
      <c r="G30" s="21">
        <f>IF(A30&lt;=Assumptions!$C$26,PV('Scenario Tables'!G$27/12,(Assumptions!$C$26-A30)*12,-$C$11),0)</f>
        <v>625990.19025121385</v>
      </c>
      <c r="H30" s="21">
        <f t="shared" si="3"/>
        <v>1326662.3052217453</v>
      </c>
      <c r="I30" s="21">
        <f>IF(A30&lt;=Assumptions!$C$26,G29*'Scenario Tables'!G$27,0)</f>
        <v>17151.703112673884</v>
      </c>
      <c r="J30" s="21">
        <f>IF(A30&lt;=Assumptions!$C$26,$C$12-I30,0)</f>
        <v>33291.100540908534</v>
      </c>
      <c r="K30" s="21">
        <f>IF(Assumptions!$C$39="Investment",Assumptions!$G$35*12*(1+Assumptions!$G$36)^(A30-1)*(1-Assumptions!$C$40),Assumptions!$G$35*12*(1+Assumptions!$G$36)^(A30-1))</f>
        <v>71251.853205395091</v>
      </c>
      <c r="L30" s="21">
        <f>IF(Assumptions!$C$39="Investment",_xlfn.LET(_xlpm.gr,Assumptions!$G$35*12*(1+Assumptions!$G$36)^(A30-1),Assumptions!$G$37*(1+Assumptions!$G$36)^(A30-1)+MIN(_xlpm.gr,30000)*0.12+MAX(0,MIN(_xlpm.gr,45000)-30000)*0.2+MAX(0,MIN(_xlpm.gr,60000)-45000)*0.28+MAX(0,_xlpm.gr-60000)*0.36+K30*Assumptions!$C$41),Assumptions!$G$37*(1+Assumptions!$G$36)^(A30-1)+MAX(0,MIN(K30,25000)-12000)*0.04+MAX(0,MIN(K30,38000)-25000)*0.06+MAX(0,MIN(K30,50000)-38000)*0.08+MAX(0,MIN(K30,65000)-50000)*0.1+MAX(0,MIN(K30,80000)-65000)*0.12+MAX(0,MIN(K30,95000)-80000)*0.14+MAX(0,MIN(K30,110000)-95000)*0.16+MAX(0,K30-110000)*0.23)</f>
        <v>6251.9343518904016</v>
      </c>
      <c r="M30" s="21">
        <f>IF(Assumptions!$C$39="Investment",(K30-I30-L30)*(1-Assumptions!$C$42),K30-I30-L30)</f>
        <v>47848.215740830805</v>
      </c>
      <c r="N30" s="21">
        <f t="shared" si="4"/>
        <v>520720.22567122994</v>
      </c>
      <c r="O30" s="31">
        <f t="shared" si="5"/>
        <v>2.2184917642448938</v>
      </c>
      <c r="P30" s="21">
        <f>Assumptions!$C$8*(1+Assumptions!$C$9)^A30-Assumptions!$C$8+$C$7*((1+Assumptions!$C$9)^A30-1)</f>
        <v>134489.44994943315</v>
      </c>
      <c r="Q30" s="21">
        <f t="shared" si="6"/>
        <v>1192172.8552723122</v>
      </c>
      <c r="R30" s="21">
        <f>N30/(1+Assumptions!$C$43)^A30</f>
        <v>359539.38057540811</v>
      </c>
      <c r="S30">
        <f>((H30/$C$10)^(1/A30))/(1+Assumptions!$C$43)-1</f>
        <v>5.4677371321339097E-2</v>
      </c>
    </row>
    <row r="31" spans="1:19" x14ac:dyDescent="0.2">
      <c r="A31" s="30">
        <f t="shared" si="0"/>
        <v>16</v>
      </c>
      <c r="B31" s="30">
        <f t="shared" si="0"/>
        <v>48</v>
      </c>
      <c r="C31" s="30">
        <f t="shared" si="1"/>
        <v>72</v>
      </c>
      <c r="D31" s="31">
        <f>VLOOKUP(C31,'Bala Table'!$A:$B,2,FALSE)</f>
        <v>0.746</v>
      </c>
      <c r="E31" s="21">
        <f>E30*(1+Assumptions!$G$34)</f>
        <v>2674510.731831314</v>
      </c>
      <c r="F31" s="21">
        <f t="shared" si="2"/>
        <v>1995185.0059461603</v>
      </c>
      <c r="G31" s="21">
        <f>IF(A31&lt;=Assumptions!$C$26,PV('Scenario Tables'!G$27/12,(Assumptions!$C$26-A31)*12,-$C$11),0)</f>
        <v>591413.01912783319</v>
      </c>
      <c r="H31" s="21">
        <f t="shared" si="3"/>
        <v>1403771.9868183271</v>
      </c>
      <c r="I31" s="21">
        <f>IF(A31&lt;=Assumptions!$C$26,G30*'Scenario Tables'!G$27,0)</f>
        <v>16275.744946531559</v>
      </c>
      <c r="J31" s="21">
        <f>IF(A31&lt;=Assumptions!$C$26,$C$12-I31,0)</f>
        <v>34167.058707050855</v>
      </c>
      <c r="K31" s="21">
        <f>IF(Assumptions!$C$39="Investment",Assumptions!$G$35*12*(1+Assumptions!$G$36)^(A31-1)*(1-Assumptions!$C$40),Assumptions!$G$35*12*(1+Assumptions!$G$36)^(A31-1))</f>
        <v>72676.890269502983</v>
      </c>
      <c r="L31" s="21">
        <f>IF(Assumptions!$C$39="Investment",_xlfn.LET(_xlpm.gr,Assumptions!$G$35*12*(1+Assumptions!$G$36)^(A31-1),Assumptions!$G$37*(1+Assumptions!$G$36)^(A31-1)+MIN(_xlpm.gr,30000)*0.12+MAX(0,MIN(_xlpm.gr,45000)-30000)*0.2+MAX(0,MIN(_xlpm.gr,60000)-45000)*0.28+MAX(0,_xlpm.gr-60000)*0.36+K31*Assumptions!$C$41),Assumptions!$G$37*(1+Assumptions!$G$36)^(A31-1)+MAX(0,MIN(K31,25000)-12000)*0.04+MAX(0,MIN(K31,38000)-25000)*0.06+MAX(0,MIN(K31,50000)-38000)*0.08+MAX(0,MIN(K31,65000)-50000)*0.1+MAX(0,MIN(K31,80000)-65000)*0.12+MAX(0,MIN(K31,95000)-80000)*0.14+MAX(0,MIN(K31,110000)-95000)*0.16+MAX(0,K31-110000)*0.23)</f>
        <v>6457.7730389282087</v>
      </c>
      <c r="M31" s="21">
        <f>IF(Assumptions!$C$39="Investment",(K31-I31-L31)*(1-Assumptions!$C$42),K31-I31-L31)</f>
        <v>49943.372284043216</v>
      </c>
      <c r="N31" s="21">
        <f t="shared" si="4"/>
        <v>570663.59795527312</v>
      </c>
      <c r="O31" s="31">
        <f t="shared" si="5"/>
        <v>2.405560375590313</v>
      </c>
      <c r="P31" s="21">
        <f>Assumptions!$C$8*(1+Assumptions!$C$9)^A31-Assumptions!$C$8+$C$7*((1+Assumptions!$C$9)^A31-1)</f>
        <v>145351.68619816896</v>
      </c>
      <c r="Q31" s="21">
        <f t="shared" si="6"/>
        <v>1258420.3006201582</v>
      </c>
      <c r="R31" s="21">
        <f>N31/(1+Assumptions!$C$43)^A31</f>
        <v>384413.22822431882</v>
      </c>
      <c r="S31">
        <f>((H31/$C$10)^(1/A31))/(1+Assumptions!$C$43)-1</f>
        <v>5.3265650681367571E-2</v>
      </c>
    </row>
    <row r="32" spans="1:19" x14ac:dyDescent="0.2">
      <c r="A32" s="30">
        <f t="shared" si="0"/>
        <v>17</v>
      </c>
      <c r="B32" s="30">
        <f t="shared" si="0"/>
        <v>49</v>
      </c>
      <c r="C32" s="30">
        <f t="shared" si="1"/>
        <v>71</v>
      </c>
      <c r="D32" s="31">
        <f>VLOOKUP(C32,'Bala Table'!$A:$B,2,FALSE)</f>
        <v>0.74</v>
      </c>
      <c r="E32" s="21">
        <f>E31*(1+Assumptions!$G$34)</f>
        <v>2754746.0537862536</v>
      </c>
      <c r="F32" s="21">
        <f t="shared" si="2"/>
        <v>2038512.0798018277</v>
      </c>
      <c r="G32" s="21">
        <f>IF(A32&lt;=Assumptions!$C$26,PV('Scenario Tables'!G$27/12,(Assumptions!$C$26-A32)*12,-$C$11),0)</f>
        <v>555926.05064373103</v>
      </c>
      <c r="H32" s="21">
        <f t="shared" si="3"/>
        <v>1482586.0291580968</v>
      </c>
      <c r="I32" s="21">
        <f>IF(A32&lt;=Assumptions!$C$26,G31*'Scenario Tables'!G$27,0)</f>
        <v>15376.738497323662</v>
      </c>
      <c r="J32" s="21">
        <f>IF(A32&lt;=Assumptions!$C$26,$C$12-I32,0)</f>
        <v>35066.065156258752</v>
      </c>
      <c r="K32" s="21">
        <f>IF(Assumptions!$C$39="Investment",Assumptions!$G$35*12*(1+Assumptions!$G$36)^(A32-1)*(1-Assumptions!$C$40),Assumptions!$G$35*12*(1+Assumptions!$G$36)^(A32-1))</f>
        <v>74130.428074893047</v>
      </c>
      <c r="L32" s="21">
        <f>IF(Assumptions!$C$39="Investment",_xlfn.LET(_xlpm.gr,Assumptions!$G$35*12*(1+Assumptions!$G$36)^(A32-1),Assumptions!$G$37*(1+Assumptions!$G$36)^(A32-1)+MIN(_xlpm.gr,30000)*0.12+MAX(0,MIN(_xlpm.gr,45000)-30000)*0.2+MAX(0,MIN(_xlpm.gr,60000)-45000)*0.28+MAX(0,_xlpm.gr-60000)*0.36+K32*Assumptions!$C$41),Assumptions!$G$37*(1+Assumptions!$G$36)^(A32-1)+MAX(0,MIN(K32,25000)-12000)*0.04+MAX(0,MIN(K32,38000)-25000)*0.06+MAX(0,MIN(K32,50000)-38000)*0.08+MAX(0,MIN(K32,65000)-50000)*0.1+MAX(0,MIN(K32,80000)-65000)*0.12+MAX(0,MIN(K32,95000)-80000)*0.14+MAX(0,MIN(K32,110000)-95000)*0.16+MAX(0,K32-110000)*0.23)</f>
        <v>6667.7284997067736</v>
      </c>
      <c r="M32" s="21">
        <f>IF(Assumptions!$C$39="Investment",(K32-I32-L32)*(1-Assumptions!$C$42),K32-I32-L32)</f>
        <v>52085.961077862608</v>
      </c>
      <c r="N32" s="21">
        <f t="shared" si="4"/>
        <v>622749.55903313577</v>
      </c>
      <c r="O32" s="31">
        <f t="shared" si="5"/>
        <v>2.5967637776761201</v>
      </c>
      <c r="P32" s="21">
        <f>Assumptions!$C$8*(1+Assumptions!$C$9)^A32-Assumptions!$C$8+$C$7*((1+Assumptions!$C$9)^A32-1)</f>
        <v>156485.47835312312</v>
      </c>
      <c r="Q32" s="21">
        <f t="shared" si="6"/>
        <v>1326100.5508049736</v>
      </c>
      <c r="R32" s="21">
        <f>N32/(1+Assumptions!$C$43)^A32</f>
        <v>409267.93199195433</v>
      </c>
      <c r="S32">
        <f>((H32/$C$10)^(1/A32))/(1+Assumptions!$C$43)-1</f>
        <v>5.1905765634963297E-2</v>
      </c>
    </row>
    <row r="33" spans="1:19" x14ac:dyDescent="0.2">
      <c r="A33" s="30">
        <f t="shared" si="0"/>
        <v>18</v>
      </c>
      <c r="B33" s="30">
        <f t="shared" si="0"/>
        <v>50</v>
      </c>
      <c r="C33" s="30">
        <f t="shared" si="1"/>
        <v>70</v>
      </c>
      <c r="D33" s="31">
        <f>VLOOKUP(C33,'Bala Table'!$A:$B,2,FALSE)</f>
        <v>0.73399999999999999</v>
      </c>
      <c r="E33" s="21">
        <f>E32*(1+Assumptions!$G$34)</f>
        <v>2837388.4353998411</v>
      </c>
      <c r="F33" s="21">
        <f t="shared" si="2"/>
        <v>2082643.1115834834</v>
      </c>
      <c r="G33" s="21">
        <f>IF(A33&lt;=Assumptions!$C$26,PV('Scenario Tables'!G$27/12,(Assumptions!$C$26-A33)*12,-$C$11),0)</f>
        <v>519505.34613618074</v>
      </c>
      <c r="H33" s="21">
        <f t="shared" si="3"/>
        <v>1563137.7654473027</v>
      </c>
      <c r="I33" s="21">
        <f>IF(A33&lt;=Assumptions!$C$26,G32*'Scenario Tables'!G$27,0)</f>
        <v>14454.077316737006</v>
      </c>
      <c r="J33" s="21">
        <f>IF(A33&lt;=Assumptions!$C$26,$C$12-I33,0)</f>
        <v>35988.726336845408</v>
      </c>
      <c r="K33" s="21">
        <f>IF(Assumptions!$C$39="Investment",Assumptions!$G$35*12*(1+Assumptions!$G$36)^(A33-1)*(1-Assumptions!$C$40),Assumptions!$G$35*12*(1+Assumptions!$G$36)^(A33-1))</f>
        <v>75613.036636390912</v>
      </c>
      <c r="L33" s="21">
        <f>IF(Assumptions!$C$39="Investment",_xlfn.LET(_xlpm.gr,Assumptions!$G$35*12*(1+Assumptions!$G$36)^(A33-1),Assumptions!$G$37*(1+Assumptions!$G$36)^(A33-1)+MIN(_xlpm.gr,30000)*0.12+MAX(0,MIN(_xlpm.gr,45000)-30000)*0.2+MAX(0,MIN(_xlpm.gr,60000)-45000)*0.28+MAX(0,_xlpm.gr-60000)*0.36+K33*Assumptions!$C$41),Assumptions!$G$37*(1+Assumptions!$G$36)^(A33-1)+MAX(0,MIN(K33,25000)-12000)*0.04+MAX(0,MIN(K33,38000)-25000)*0.06+MAX(0,MIN(K33,50000)-38000)*0.08+MAX(0,MIN(K33,65000)-50000)*0.1+MAX(0,MIN(K33,80000)-65000)*0.12+MAX(0,MIN(K33,95000)-80000)*0.14+MAX(0,MIN(K33,110000)-95000)*0.16+MAX(0,K33-110000)*0.23)</f>
        <v>6881.8830697009089</v>
      </c>
      <c r="M33" s="21">
        <f>IF(Assumptions!$C$39="Investment",(K33-I33-L33)*(1-Assumptions!$C$42),K33-I33-L33)</f>
        <v>54277.076249952996</v>
      </c>
      <c r="N33" s="21">
        <f t="shared" si="4"/>
        <v>677026.63528308878</v>
      </c>
      <c r="O33" s="31">
        <f t="shared" si="5"/>
        <v>2.7921828370871005</v>
      </c>
      <c r="P33" s="21">
        <f>Assumptions!$C$8*(1+Assumptions!$C$9)^A33-Assumptions!$C$8+$C$7*((1+Assumptions!$C$9)^A33-1)</f>
        <v>167897.6153119512</v>
      </c>
      <c r="Q33" s="21">
        <f t="shared" si="6"/>
        <v>1395240.1501353516</v>
      </c>
      <c r="R33" s="21">
        <f>N33/(1+Assumptions!$C$43)^A33</f>
        <v>434086.39825939882</v>
      </c>
      <c r="S33">
        <f>((H33/$C$10)^(1/A33))/(1+Assumptions!$C$43)-1</f>
        <v>5.0598193054540719E-2</v>
      </c>
    </row>
    <row r="34" spans="1:19" x14ac:dyDescent="0.2">
      <c r="A34" s="30">
        <f t="shared" si="0"/>
        <v>19</v>
      </c>
      <c r="B34" s="30">
        <f t="shared" si="0"/>
        <v>51</v>
      </c>
      <c r="C34" s="30">
        <f t="shared" si="1"/>
        <v>69</v>
      </c>
      <c r="D34" s="31">
        <f>VLOOKUP(C34,'Bala Table'!$A:$B,2,FALSE)</f>
        <v>0.72699999999999998</v>
      </c>
      <c r="E34" s="21">
        <f>E33*(1+Assumptions!$G$34)</f>
        <v>2922510.0884618363</v>
      </c>
      <c r="F34" s="21">
        <f t="shared" si="2"/>
        <v>2124664.8343117549</v>
      </c>
      <c r="G34" s="21">
        <f>IF(A34&lt;=Assumptions!$C$26,PV('Scenario Tables'!G$27/12,(Assumptions!$C$26-A34)*12,-$C$11),0)</f>
        <v>482126.33706639922</v>
      </c>
      <c r="H34" s="21">
        <f t="shared" si="3"/>
        <v>1642538.4972453557</v>
      </c>
      <c r="I34" s="21">
        <f>IF(A34&lt;=Assumptions!$C$26,G33*'Scenario Tables'!G$27,0)</f>
        <v>13507.138999540699</v>
      </c>
      <c r="J34" s="21">
        <f>IF(A34&lt;=Assumptions!$C$26,$C$12-I34,0)</f>
        <v>36935.664654041713</v>
      </c>
      <c r="K34" s="21">
        <f>IF(Assumptions!$C$39="Investment",Assumptions!$G$35*12*(1+Assumptions!$G$36)^(A34-1)*(1-Assumptions!$C$40),Assumptions!$G$35*12*(1+Assumptions!$G$36)^(A34-1))</f>
        <v>77125.297369118722</v>
      </c>
      <c r="L34" s="21">
        <f>IF(Assumptions!$C$39="Investment",_xlfn.LET(_xlpm.gr,Assumptions!$G$35*12*(1+Assumptions!$G$36)^(A34-1),Assumptions!$G$37*(1+Assumptions!$G$36)^(A34-1)+MIN(_xlpm.gr,30000)*0.12+MAX(0,MIN(_xlpm.gr,45000)-30000)*0.2+MAX(0,MIN(_xlpm.gr,60000)-45000)*0.28+MAX(0,_xlpm.gr-60000)*0.36+K34*Assumptions!$C$41),Assumptions!$G$37*(1+Assumptions!$G$36)^(A34-1)+MAX(0,MIN(K34,25000)-12000)*0.04+MAX(0,MIN(K34,38000)-25000)*0.06+MAX(0,MIN(K34,50000)-38000)*0.08+MAX(0,MIN(K34,65000)-50000)*0.1+MAX(0,MIN(K34,80000)-65000)*0.12+MAX(0,MIN(K34,95000)-80000)*0.14+MAX(0,MIN(K34,110000)-95000)*0.16+MAX(0,K34-110000)*0.23)</f>
        <v>7100.3207310949265</v>
      </c>
      <c r="M34" s="21">
        <f>IF(Assumptions!$C$39="Investment",(K34-I34-L34)*(1-Assumptions!$C$42),K34-I34-L34)</f>
        <v>56517.837638483092</v>
      </c>
      <c r="N34" s="21">
        <f t="shared" si="4"/>
        <v>733544.47292157193</v>
      </c>
      <c r="O34" s="31">
        <f t="shared" si="5"/>
        <v>2.9848095517839779</v>
      </c>
      <c r="P34" s="21">
        <f>Assumptions!$C$8*(1+Assumptions!$C$9)^A34-Assumptions!$C$8+$C$7*((1+Assumptions!$C$9)^A34-1)</f>
        <v>179595.05569474999</v>
      </c>
      <c r="Q34" s="21">
        <f t="shared" si="6"/>
        <v>1462943.4415506057</v>
      </c>
      <c r="R34" s="21">
        <f>N34/(1+Assumptions!$C$43)^A34</f>
        <v>458852.39904669969</v>
      </c>
      <c r="S34">
        <f>((H34/$C$10)^(1/A34))/(1+Assumptions!$C$43)-1</f>
        <v>4.9244093247852616E-2</v>
      </c>
    </row>
    <row r="35" spans="1:19" x14ac:dyDescent="0.2">
      <c r="A35" s="30">
        <f t="shared" si="0"/>
        <v>20</v>
      </c>
      <c r="B35" s="30">
        <f t="shared" si="0"/>
        <v>52</v>
      </c>
      <c r="C35" s="30">
        <f t="shared" si="1"/>
        <v>68</v>
      </c>
      <c r="D35" s="31">
        <f>VLOOKUP(C35,'Bala Table'!$A:$B,2,FALSE)</f>
        <v>0.72</v>
      </c>
      <c r="E35" s="21">
        <f>E34*(1+Assumptions!$G$34)</f>
        <v>3010185.3911156915</v>
      </c>
      <c r="F35" s="21">
        <f t="shared" si="2"/>
        <v>2167333.4816032979</v>
      </c>
      <c r="G35" s="21">
        <f>IF(A35&lt;=Assumptions!$C$26,PV('Scenario Tables'!G$27/12,(Assumptions!$C$26-A35)*12,-$C$11),0)</f>
        <v>443763.80844619818</v>
      </c>
      <c r="H35" s="21">
        <f t="shared" si="3"/>
        <v>1723569.6731570996</v>
      </c>
      <c r="I35" s="21">
        <f>IF(A35&lt;=Assumptions!$C$26,G34*'Scenario Tables'!G$27,0)</f>
        <v>12535.284763726379</v>
      </c>
      <c r="J35" s="21">
        <f>IF(A35&lt;=Assumptions!$C$26,$C$12-I35,0)</f>
        <v>37907.518889856037</v>
      </c>
      <c r="K35" s="21">
        <f>IF(Assumptions!$C$39="Investment",Assumptions!$G$35*12*(1+Assumptions!$G$36)^(A35-1)*(1-Assumptions!$C$40),Assumptions!$G$35*12*(1+Assumptions!$G$36)^(A35-1))</f>
        <v>78667.8033165011</v>
      </c>
      <c r="L35" s="21">
        <f>IF(Assumptions!$C$39="Investment",_xlfn.LET(_xlpm.gr,Assumptions!$G$35*12*(1+Assumptions!$G$36)^(A35-1),Assumptions!$G$37*(1+Assumptions!$G$36)^(A35-1)+MIN(_xlpm.gr,30000)*0.12+MAX(0,MIN(_xlpm.gr,45000)-30000)*0.2+MAX(0,MIN(_xlpm.gr,60000)-45000)*0.28+MAX(0,_xlpm.gr-60000)*0.36+K35*Assumptions!$C$41),Assumptions!$G$37*(1+Assumptions!$G$36)^(A35-1)+MAX(0,MIN(K35,25000)-12000)*0.04+MAX(0,MIN(K35,38000)-25000)*0.06+MAX(0,MIN(K35,50000)-38000)*0.08+MAX(0,MIN(K35,65000)-50000)*0.1+MAX(0,MIN(K35,80000)-65000)*0.12+MAX(0,MIN(K35,95000)-80000)*0.14+MAX(0,MIN(K35,110000)-95000)*0.16+MAX(0,K35-110000)*0.23)</f>
        <v>7323.127145716825</v>
      </c>
      <c r="M35" s="21">
        <f>IF(Assumptions!$C$39="Investment",(K35-I35-L35)*(1-Assumptions!$C$42),K35-I35-L35)</f>
        <v>58809.391407057898</v>
      </c>
      <c r="N35" s="21">
        <f t="shared" si="4"/>
        <v>792353.8643286298</v>
      </c>
      <c r="O35" s="31">
        <f t="shared" si="5"/>
        <v>3.1813917349759815</v>
      </c>
      <c r="P35" s="21">
        <f>Assumptions!$C$8*(1+Assumptions!$C$9)^A35-Assumptions!$C$8+$C$7*((1+Assumptions!$C$9)^A35-1)</f>
        <v>191584.93208711868</v>
      </c>
      <c r="Q35" s="21">
        <f t="shared" si="6"/>
        <v>1531984.7410699809</v>
      </c>
      <c r="R35" s="21">
        <f>N35/(1+Assumptions!$C$43)^A35</f>
        <v>483550.53986167064</v>
      </c>
      <c r="S35">
        <f>((H35/$C$10)^(1/A35))/(1+Assumptions!$C$43)-1</f>
        <v>4.7953898041919629E-2</v>
      </c>
    </row>
    <row r="37" spans="1:19" x14ac:dyDescent="0.2">
      <c r="A37" s="23" t="s">
        <v>81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9" x14ac:dyDescent="0.2">
      <c r="A38" s="13" t="s">
        <v>82</v>
      </c>
      <c r="E38" s="22">
        <f>H35</f>
        <v>1723569.6731570996</v>
      </c>
      <c r="G38" s="13" t="s">
        <v>83</v>
      </c>
      <c r="I38" s="22">
        <f>G35</f>
        <v>443763.80844619818</v>
      </c>
    </row>
    <row r="39" spans="1:19" x14ac:dyDescent="0.2">
      <c r="A39" s="13" t="s">
        <v>84</v>
      </c>
      <c r="E39" s="25">
        <f>Q35</f>
        <v>1531984.7410699809</v>
      </c>
      <c r="G39" s="13" t="s">
        <v>85</v>
      </c>
      <c r="I39" s="22">
        <f>P35</f>
        <v>191584.93208711868</v>
      </c>
    </row>
    <row r="40" spans="1:19" x14ac:dyDescent="0.2">
      <c r="A40" s="13" t="s">
        <v>86</v>
      </c>
      <c r="E40" s="32">
        <f>O35</f>
        <v>3.1813917349759815</v>
      </c>
      <c r="G40" s="13" t="s">
        <v>87</v>
      </c>
      <c r="I40" s="33">
        <f>(H35/$C$10)^(1/20)-1</f>
        <v>7.4152745492967576E-2</v>
      </c>
    </row>
    <row r="41" spans="1:19" x14ac:dyDescent="0.2">
      <c r="A41" s="13" t="s">
        <v>88</v>
      </c>
      <c r="E41" s="22">
        <f>N35</f>
        <v>792353.8643286298</v>
      </c>
      <c r="G41" s="13" t="s">
        <v>89</v>
      </c>
      <c r="I41" s="34" cm="1">
        <f t="array" ref="I41">IFERROR(MATCH(TRUE,INDEX(H16:H35&gt;$C$10,0),0),"Never")</f>
        <v>2</v>
      </c>
    </row>
    <row r="42" spans="1:19" x14ac:dyDescent="0.2">
      <c r="A42" s="96" t="s">
        <v>191</v>
      </c>
      <c r="E42" s="87">
        <f>S35</f>
        <v>4.7953898041919629E-2</v>
      </c>
      <c r="G42" s="96" t="s">
        <v>192</v>
      </c>
      <c r="I42" s="72">
        <f>R35</f>
        <v>483550.53986167064</v>
      </c>
    </row>
    <row r="43" spans="1:19" x14ac:dyDescent="0.2">
      <c r="A43" s="96" t="s">
        <v>193</v>
      </c>
      <c r="E43" s="129">
        <f>Assumptions!$C$43</f>
        <v>2.5000000000000001E-2</v>
      </c>
      <c r="G43" s="13"/>
      <c r="I43" s="3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BA32-1D0C-B744-B60E-A2388AFD9577}">
  <dimension ref="A1:S43"/>
  <sheetViews>
    <sheetView workbookViewId="0"/>
  </sheetViews>
  <sheetFormatPr baseColWidth="10" defaultRowHeight="16" x14ac:dyDescent="0.2"/>
  <cols>
    <col min="1" max="17" width="16.6640625" customWidth="1"/>
  </cols>
  <sheetData>
    <row r="1" spans="1:19" ht="19" x14ac:dyDescent="0.25">
      <c r="A1" s="35" t="s">
        <v>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spans="1:19" x14ac:dyDescent="0.2">
      <c r="A3" s="23" t="s">
        <v>57</v>
      </c>
      <c r="B3" s="4"/>
      <c r="C3" s="4"/>
    </row>
    <row r="4" spans="1:19" x14ac:dyDescent="0.2">
      <c r="A4" t="s">
        <v>36</v>
      </c>
      <c r="C4" s="21">
        <f>Assumptions!D31</f>
        <v>2500000</v>
      </c>
    </row>
    <row r="5" spans="1:19" x14ac:dyDescent="0.2">
      <c r="A5" t="s">
        <v>58</v>
      </c>
      <c r="C5" s="21">
        <f>Assumptions!C22*Assumptions!D31</f>
        <v>1875000</v>
      </c>
    </row>
    <row r="6" spans="1:19" x14ac:dyDescent="0.2">
      <c r="A6" t="s">
        <v>59</v>
      </c>
      <c r="C6" s="21">
        <f>Assumptions!C23*Assumptions!D31-C7</f>
        <v>475000</v>
      </c>
    </row>
    <row r="7" spans="1:19" x14ac:dyDescent="0.2">
      <c r="A7" t="s">
        <v>60</v>
      </c>
      <c r="C7" s="21">
        <f>MIN(Assumptions!C24*Assumptions!D31,Assumptions!C8)</f>
        <v>150000</v>
      </c>
    </row>
    <row r="8" spans="1:19" x14ac:dyDescent="0.2">
      <c r="A8" t="s">
        <v>61</v>
      </c>
      <c r="C8" s="21">
        <f>Assumptions!D51</f>
        <v>138200</v>
      </c>
    </row>
    <row r="9" spans="1:19" x14ac:dyDescent="0.2">
      <c r="A9" s="14" t="s">
        <v>62</v>
      </c>
      <c r="C9" s="25">
        <f>C6+C8</f>
        <v>613200</v>
      </c>
    </row>
    <row r="10" spans="1:19" x14ac:dyDescent="0.2">
      <c r="A10" s="14" t="s">
        <v>63</v>
      </c>
      <c r="C10" s="25">
        <f>C6+C7+C8</f>
        <v>763200</v>
      </c>
    </row>
    <row r="11" spans="1:19" x14ac:dyDescent="0.2">
      <c r="A11" t="s">
        <v>64</v>
      </c>
      <c r="C11" s="36">
        <f>PMT('Scenario Tables'!D$27/12,Assumptions!C26*12,-C5)</f>
        <v>6625.9704145460082</v>
      </c>
    </row>
    <row r="12" spans="1:19" x14ac:dyDescent="0.2">
      <c r="A12" t="s">
        <v>65</v>
      </c>
      <c r="C12" s="21">
        <f>C11*12</f>
        <v>79511.644974552095</v>
      </c>
    </row>
    <row r="14" spans="1:19" ht="51" x14ac:dyDescent="0.2">
      <c r="A14" s="26" t="s">
        <v>66</v>
      </c>
      <c r="B14" s="26" t="s">
        <v>67</v>
      </c>
      <c r="C14" s="28" t="s">
        <v>68</v>
      </c>
      <c r="D14" s="28" t="s">
        <v>69</v>
      </c>
      <c r="E14" s="28" t="s">
        <v>70</v>
      </c>
      <c r="F14" s="28" t="s">
        <v>71</v>
      </c>
      <c r="G14" s="28" t="s">
        <v>72</v>
      </c>
      <c r="H14" s="28" t="s">
        <v>73</v>
      </c>
      <c r="I14" s="28" t="s">
        <v>74</v>
      </c>
      <c r="J14" s="28" t="s">
        <v>75</v>
      </c>
      <c r="K14" s="28" t="s">
        <v>184</v>
      </c>
      <c r="L14" s="28" t="s">
        <v>185</v>
      </c>
      <c r="M14" s="28" t="s">
        <v>186</v>
      </c>
      <c r="N14" s="28" t="s">
        <v>76</v>
      </c>
      <c r="O14" s="28" t="s">
        <v>77</v>
      </c>
      <c r="P14" s="28" t="s">
        <v>78</v>
      </c>
      <c r="Q14" s="28" t="s">
        <v>79</v>
      </c>
      <c r="R14" s="73" t="s">
        <v>189</v>
      </c>
      <c r="S14" s="73" t="s">
        <v>190</v>
      </c>
    </row>
    <row r="15" spans="1:19" x14ac:dyDescent="0.2">
      <c r="A15" s="29">
        <v>0</v>
      </c>
      <c r="B15" s="29">
        <f>Assumptions!C4</f>
        <v>32</v>
      </c>
      <c r="C15" s="30">
        <f>Assumptions!D33</f>
        <v>93</v>
      </c>
      <c r="D15" s="31">
        <f>VLOOKUP(C15,'Bala Table'!A:B,2,FALSE)</f>
        <v>0.87</v>
      </c>
      <c r="E15" s="21">
        <f>C4/D15</f>
        <v>2873563.2183908047</v>
      </c>
      <c r="F15" s="21">
        <f>C4</f>
        <v>2500000</v>
      </c>
      <c r="G15" s="21">
        <f>C5</f>
        <v>1875000</v>
      </c>
      <c r="H15" s="21">
        <f>F15-G15</f>
        <v>625000</v>
      </c>
      <c r="I15" s="29" t="s">
        <v>80</v>
      </c>
      <c r="J15" s="29" t="s">
        <v>80</v>
      </c>
      <c r="K15" s="29" t="s">
        <v>80</v>
      </c>
      <c r="L15" s="29" t="s">
        <v>80</v>
      </c>
      <c r="M15" s="29" t="s">
        <v>80</v>
      </c>
      <c r="N15" s="29" t="s">
        <v>80</v>
      </c>
      <c r="O15" s="29" t="s">
        <v>80</v>
      </c>
      <c r="P15" s="21">
        <v>0</v>
      </c>
      <c r="Q15" s="21">
        <f>H15-P15</f>
        <v>625000</v>
      </c>
      <c r="R15" s="124" t="s">
        <v>80</v>
      </c>
      <c r="S15" s="124" t="s">
        <v>80</v>
      </c>
    </row>
    <row r="16" spans="1:19" x14ac:dyDescent="0.2">
      <c r="A16" s="29">
        <f>A15+1</f>
        <v>1</v>
      </c>
      <c r="B16" s="29">
        <f>B15+1</f>
        <v>33</v>
      </c>
      <c r="C16" s="30">
        <f>C15-1</f>
        <v>92</v>
      </c>
      <c r="D16" s="31">
        <f>VLOOKUP(C16,'Bala Table'!$A:$B,2,FALSE)</f>
        <v>0.86499999999999999</v>
      </c>
      <c r="E16" s="21">
        <f>E15*(1+Assumptions!$D$34)</f>
        <v>2959770.1149425288</v>
      </c>
      <c r="F16" s="21">
        <f>E16*D16</f>
        <v>2560201.1494252873</v>
      </c>
      <c r="G16" s="21">
        <f>IF(A16&lt;=Assumptions!$C$26,PV('Scenario Tables'!D$27/12,(Assumptions!$C$26-A16)*12,-$C$11),0)</f>
        <v>1826448.8852645748</v>
      </c>
      <c r="H16" s="21">
        <f>F16-G16</f>
        <v>733752.26416071248</v>
      </c>
      <c r="I16" s="21">
        <f>IF(A16&lt;=Assumptions!$C$26,G15*'Scenario Tables'!D$27,0)</f>
        <v>31331.25</v>
      </c>
      <c r="J16" s="21">
        <f>IF(A16&lt;=Assumptions!$C$26,$C$12-I16,0)</f>
        <v>48180.394974552095</v>
      </c>
      <c r="K16" s="21">
        <f>IF(Assumptions!$C$39="Investment",Assumptions!$D$35*12*(1+Assumptions!$D$36)^(A16-1)*(1-Assumptions!$C$40),Assumptions!$D$35*12*(1+Assumptions!$D$36)^(A16-1))</f>
        <v>62400</v>
      </c>
      <c r="L16" s="21">
        <f>IF(Assumptions!$C$39="Investment",_xlfn.LET(_xlpm.gr,Assumptions!$D$35*12*(1+Assumptions!$D$36)^(A16-1),Assumptions!$D$37*(1+Assumptions!$D$36)^(A16-1)+MIN(_xlpm.gr,30000)*0.12+MAX(0,MIN(_xlpm.gr,45000)-30000)*0.2+MAX(0,MIN(_xlpm.gr,60000)-45000)*0.28+MAX(0,_xlpm.gr-60000)*0.36+K16*Assumptions!$C$41),Assumptions!$D$37*(1+Assumptions!$D$36)^(A16-1)+MAX(0,MIN(K16,25000)-12000)*0.04+MAX(0,MIN(K16,38000)-25000)*0.06+MAX(0,MIN(K16,50000)-38000)*0.08+MAX(0,MIN(K16,65000)-50000)*0.1+MAX(0,MIN(K16,80000)-65000)*0.12+MAX(0,MIN(K16,95000)-80000)*0.14+MAX(0,MIN(K16,110000)-95000)*0.16+MAX(0,K16-110000)*0.23)</f>
        <v>9500</v>
      </c>
      <c r="M16" s="21">
        <f>IF(Assumptions!$C$39="Investment",(K16-I16-L16)*(1-Assumptions!$C$42),K16-I16-L16)</f>
        <v>21568.75</v>
      </c>
      <c r="N16" s="21">
        <f>IF(A16=1,M16,N15+M16)</f>
        <v>21568.75</v>
      </c>
      <c r="O16" s="31">
        <f>(H16-$C$10)/$C$10</f>
        <v>-3.8584559537850519E-2</v>
      </c>
      <c r="P16" s="21">
        <f>Assumptions!$C$8*(1+Assumptions!$C$9)^A16-Assumptions!$C$8+$C$7*((1+Assumptions!$C$9)^A16-1)</f>
        <v>7499.9999999999873</v>
      </c>
      <c r="Q16" s="21">
        <f>H16-P16</f>
        <v>726252.26416071248</v>
      </c>
      <c r="R16" s="21">
        <f>N16/(1+Assumptions!$C$43)^A16</f>
        <v>21042.682926829271</v>
      </c>
      <c r="S16">
        <f>((H16/$C$10)^(1/A16))/(1+Assumptions!$C$43)-1</f>
        <v>-6.2033716622293178E-2</v>
      </c>
    </row>
    <row r="17" spans="1:19" x14ac:dyDescent="0.2">
      <c r="A17" s="29">
        <f t="shared" ref="A17:A35" si="0">A16+1</f>
        <v>2</v>
      </c>
      <c r="B17" s="29">
        <f t="shared" ref="B17:B35" si="1">B16+1</f>
        <v>34</v>
      </c>
      <c r="C17" s="30">
        <f t="shared" ref="C17:C35" si="2">C16-1</f>
        <v>91</v>
      </c>
      <c r="D17" s="31">
        <f>VLOOKUP(C17,'Bala Table'!$A:$B,2,FALSE)</f>
        <v>0.85499999999999998</v>
      </c>
      <c r="E17" s="21">
        <f>E16*(1+Assumptions!$D$34)</f>
        <v>3048563.2183908047</v>
      </c>
      <c r="F17" s="21">
        <f t="shared" ref="F17:F35" si="3">E17*D17</f>
        <v>2606521.5517241382</v>
      </c>
      <c r="G17" s="21">
        <f>IF(A17&lt;=Assumptions!$C$26,PV('Scenario Tables'!D$27/12,(Assumptions!$C$26-A17)*12,-$C$11),0)</f>
        <v>1777080.2390100416</v>
      </c>
      <c r="H17" s="21">
        <f t="shared" ref="H17:H35" si="4">F17-G17</f>
        <v>829441.31271409662</v>
      </c>
      <c r="I17" s="21">
        <f>IF(A17&lt;=Assumptions!$C$26,G16*'Scenario Tables'!D$27,0)</f>
        <v>30519.960872771044</v>
      </c>
      <c r="J17" s="21">
        <f>IF(A17&lt;=Assumptions!$C$26,$C$12-I17,0)</f>
        <v>48991.684101781051</v>
      </c>
      <c r="K17" s="21">
        <f>IF(Assumptions!$C$39="Investment",Assumptions!$D$35*12*(1+Assumptions!$D$36)^(A17-1)*(1-Assumptions!$C$40),Assumptions!$D$35*12*(1+Assumptions!$D$36)^(A17-1))</f>
        <v>63648</v>
      </c>
      <c r="L17" s="21">
        <f>IF(Assumptions!$C$39="Investment",_xlfn.LET(_xlpm.gr,Assumptions!$D$35*12*(1+Assumptions!$D$36)^(A17-1),Assumptions!$D$37*(1+Assumptions!$D$36)^(A17-1)+MIN(_xlpm.gr,30000)*0.12+MAX(0,MIN(_xlpm.gr,45000)-30000)*0.2+MAX(0,MIN(_xlpm.gr,60000)-45000)*0.28+MAX(0,_xlpm.gr-60000)*0.36+K17*Assumptions!$C$41),Assumptions!$D$37*(1+Assumptions!$D$36)^(A17-1)+MAX(0,MIN(K17,25000)-12000)*0.04+MAX(0,MIN(K17,38000)-25000)*0.06+MAX(0,MIN(K17,50000)-38000)*0.08+MAX(0,MIN(K17,65000)-50000)*0.1+MAX(0,MIN(K17,80000)-65000)*0.12+MAX(0,MIN(K17,95000)-80000)*0.14+MAX(0,MIN(K17,110000)-95000)*0.16+MAX(0,K17-110000)*0.23)</f>
        <v>9744.7999999999993</v>
      </c>
      <c r="M17" s="21">
        <f>IF(Assumptions!$C$39="Investment",(K17-I17-L17)*(1-Assumptions!$C$42),K17-I17-L17)</f>
        <v>23383.239127228957</v>
      </c>
      <c r="N17" s="21">
        <f t="shared" ref="N17:N35" si="5">IF(A17=1,M17,N16+M17)</f>
        <v>44951.989127228953</v>
      </c>
      <c r="O17" s="31">
        <f t="shared" ref="O17:O35" si="6">(H17-$C$10)/$C$10</f>
        <v>8.6794172843418005E-2</v>
      </c>
      <c r="P17" s="21">
        <f>Assumptions!$C$8*(1+Assumptions!$C$9)^A17-Assumptions!$C$8+$C$7*((1+Assumptions!$C$9)^A17-1)</f>
        <v>15187.499999999989</v>
      </c>
      <c r="Q17" s="21">
        <f t="shared" ref="Q17:Q35" si="7">H17-P17</f>
        <v>814253.81271409662</v>
      </c>
      <c r="R17" s="21">
        <f>N17/(1+Assumptions!$C$43)^A17</f>
        <v>42785.950388796155</v>
      </c>
      <c r="S17">
        <f>((H17/$C$10)^(1/A17))/(1+Assumptions!$C$43)-1</f>
        <v>1.7067519592848468E-2</v>
      </c>
    </row>
    <row r="18" spans="1:19" x14ac:dyDescent="0.2">
      <c r="A18" s="29">
        <f t="shared" si="0"/>
        <v>3</v>
      </c>
      <c r="B18" s="29">
        <f t="shared" si="1"/>
        <v>35</v>
      </c>
      <c r="C18" s="30">
        <f t="shared" si="2"/>
        <v>90</v>
      </c>
      <c r="D18" s="31">
        <f>VLOOKUP(C18,'Bala Table'!$A:$B,2,FALSE)</f>
        <v>0.85</v>
      </c>
      <c r="E18" s="21">
        <f>E17*(1+Assumptions!$D$34)</f>
        <v>3140020.1149425288</v>
      </c>
      <c r="F18" s="21">
        <f t="shared" si="3"/>
        <v>2669017.0977011495</v>
      </c>
      <c r="G18" s="21">
        <f>IF(A18&lt;=Assumptions!$C$26,PV('Scenario Tables'!D$27/12,(Assumptions!$C$26-A18)*12,-$C$11),0)</f>
        <v>1726880.2951716401</v>
      </c>
      <c r="H18" s="21">
        <f t="shared" si="4"/>
        <v>942136.80252950941</v>
      </c>
      <c r="I18" s="21">
        <f>IF(A18&lt;=Assumptions!$C$26,G17*'Scenario Tables'!D$27,0)</f>
        <v>29695.010793857793</v>
      </c>
      <c r="J18" s="21">
        <f>IF(A18&lt;=Assumptions!$C$26,$C$12-I18,0)</f>
        <v>49816.634180694302</v>
      </c>
      <c r="K18" s="21">
        <f>IF(Assumptions!$C$39="Investment",Assumptions!$D$35*12*(1+Assumptions!$D$36)^(A18-1)*(1-Assumptions!$C$40),Assumptions!$D$35*12*(1+Assumptions!$D$36)^(A18-1))</f>
        <v>64920.959999999999</v>
      </c>
      <c r="L18" s="21">
        <f>IF(Assumptions!$C$39="Investment",_xlfn.LET(_xlpm.gr,Assumptions!$D$35*12*(1+Assumptions!$D$36)^(A18-1),Assumptions!$D$37*(1+Assumptions!$D$36)^(A18-1)+MIN(_xlpm.gr,30000)*0.12+MAX(0,MIN(_xlpm.gr,45000)-30000)*0.2+MAX(0,MIN(_xlpm.gr,60000)-45000)*0.28+MAX(0,_xlpm.gr-60000)*0.36+K18*Assumptions!$C$41),Assumptions!$D$37*(1+Assumptions!$D$36)^(A18-1)+MAX(0,MIN(K18,25000)-12000)*0.04+MAX(0,MIN(K18,38000)-25000)*0.06+MAX(0,MIN(K18,50000)-38000)*0.08+MAX(0,MIN(K18,65000)-50000)*0.1+MAX(0,MIN(K18,80000)-65000)*0.12+MAX(0,MIN(K18,95000)-80000)*0.14+MAX(0,MIN(K18,110000)-95000)*0.16+MAX(0,K18-110000)*0.23)</f>
        <v>9994.4959999999992</v>
      </c>
      <c r="M18" s="21">
        <f>IF(Assumptions!$C$39="Investment",(K18-I18-L18)*(1-Assumptions!$C$42),K18-I18-L18)</f>
        <v>25231.453206142207</v>
      </c>
      <c r="N18" s="21">
        <f t="shared" si="5"/>
        <v>70183.44233337116</v>
      </c>
      <c r="O18" s="31">
        <f t="shared" si="6"/>
        <v>0.234455978157114</v>
      </c>
      <c r="P18" s="21">
        <f>Assumptions!$C$8*(1+Assumptions!$C$9)^A18-Assumptions!$C$8+$C$7*((1+Assumptions!$C$9)^A18-1)</f>
        <v>23067.187499999953</v>
      </c>
      <c r="Q18" s="21">
        <f t="shared" si="7"/>
        <v>919069.61502950941</v>
      </c>
      <c r="R18" s="21">
        <f>N18/(1+Assumptions!$C$43)^A18</f>
        <v>65172.303207088618</v>
      </c>
      <c r="S18">
        <f>((H18/$C$10)^(1/A18))/(1+Assumptions!$C$43)-1</f>
        <v>4.6569330490234817E-2</v>
      </c>
    </row>
    <row r="19" spans="1:19" x14ac:dyDescent="0.2">
      <c r="A19" s="29">
        <f t="shared" si="0"/>
        <v>4</v>
      </c>
      <c r="B19" s="29">
        <f t="shared" si="1"/>
        <v>36</v>
      </c>
      <c r="C19" s="30">
        <f t="shared" si="2"/>
        <v>89</v>
      </c>
      <c r="D19" s="31">
        <f>VLOOKUP(C19,'Bala Table'!$A:$B,2,FALSE)</f>
        <v>0.84499999999999997</v>
      </c>
      <c r="E19" s="21">
        <f>E18*(1+Assumptions!$D$34)</f>
        <v>3234220.7183908047</v>
      </c>
      <c r="F19" s="21">
        <f t="shared" si="3"/>
        <v>2732916.5070402301</v>
      </c>
      <c r="G19" s="21">
        <f>IF(A19&lt;=Assumptions!$C$26,PV('Scenario Tables'!D$27/12,(Assumptions!$C$26-A19)*12,-$C$11),0)</f>
        <v>1675835.0558838125</v>
      </c>
      <c r="H19" s="21">
        <f t="shared" si="4"/>
        <v>1057081.4511564176</v>
      </c>
      <c r="I19" s="21">
        <f>IF(A19&lt;=Assumptions!$C$26,G18*'Scenario Tables'!D$27,0)</f>
        <v>28856.169732318103</v>
      </c>
      <c r="J19" s="21">
        <f>IF(A19&lt;=Assumptions!$C$26,$C$12-I19,0)</f>
        <v>50655.475242233995</v>
      </c>
      <c r="K19" s="21">
        <f>IF(Assumptions!$C$39="Investment",Assumptions!$D$35*12*(1+Assumptions!$D$36)^(A19-1)*(1-Assumptions!$C$40),Assumptions!$D$35*12*(1+Assumptions!$D$36)^(A19-1))</f>
        <v>66219.379199999996</v>
      </c>
      <c r="L19" s="21">
        <f>IF(Assumptions!$C$39="Investment",_xlfn.LET(_xlpm.gr,Assumptions!$D$35*12*(1+Assumptions!$D$36)^(A19-1),Assumptions!$D$37*(1+Assumptions!$D$36)^(A19-1)+MIN(_xlpm.gr,30000)*0.12+MAX(0,MIN(_xlpm.gr,45000)-30000)*0.2+MAX(0,MIN(_xlpm.gr,60000)-45000)*0.28+MAX(0,_xlpm.gr-60000)*0.36+K19*Assumptions!$C$41),Assumptions!$D$37*(1+Assumptions!$D$36)^(A19-1)+MAX(0,MIN(K19,25000)-12000)*0.04+MAX(0,MIN(K19,38000)-25000)*0.06+MAX(0,MIN(K19,50000)-38000)*0.08+MAX(0,MIN(K19,65000)-50000)*0.1+MAX(0,MIN(K19,80000)-65000)*0.12+MAX(0,MIN(K19,95000)-80000)*0.14+MAX(0,MIN(K19,110000)-95000)*0.16+MAX(0,K19-110000)*0.23)</f>
        <v>10273.573504</v>
      </c>
      <c r="M19" s="21">
        <f>IF(Assumptions!$C$39="Investment",(K19-I19-L19)*(1-Assumptions!$C$42),K19-I19-L19)</f>
        <v>27089.635963681896</v>
      </c>
      <c r="N19" s="21">
        <f t="shared" si="5"/>
        <v>97273.078297053056</v>
      </c>
      <c r="O19" s="31">
        <f t="shared" si="6"/>
        <v>0.38506479449216141</v>
      </c>
      <c r="P19" s="21">
        <f>Assumptions!$C$8*(1+Assumptions!$C$9)^A19-Assumptions!$C$8+$C$7*((1+Assumptions!$C$9)^A19-1)</f>
        <v>31143.867187499935</v>
      </c>
      <c r="Q19" s="21">
        <f t="shared" si="7"/>
        <v>1025937.5839689177</v>
      </c>
      <c r="R19" s="21">
        <f>N19/(1+Assumptions!$C$43)^A19</f>
        <v>88124.608004872265</v>
      </c>
      <c r="S19">
        <f>((H19/$C$10)^(1/A19))/(1+Assumptions!$C$43)-1</f>
        <v>5.8384953875592727E-2</v>
      </c>
    </row>
    <row r="20" spans="1:19" x14ac:dyDescent="0.2">
      <c r="A20" s="29">
        <f t="shared" si="0"/>
        <v>5</v>
      </c>
      <c r="B20" s="29">
        <f t="shared" si="1"/>
        <v>37</v>
      </c>
      <c r="C20" s="30">
        <f t="shared" si="2"/>
        <v>88</v>
      </c>
      <c r="D20" s="31">
        <f>VLOOKUP(C20,'Bala Table'!$A:$B,2,FALSE)</f>
        <v>0.84</v>
      </c>
      <c r="E20" s="21">
        <f>E19*(1+Assumptions!$D$34)</f>
        <v>3331247.3399425289</v>
      </c>
      <c r="F20" s="21">
        <f t="shared" si="3"/>
        <v>2798247.765551724</v>
      </c>
      <c r="G20" s="21">
        <f>IF(A20&lt;=Assumptions!$C$26,PV('Scenario Tables'!D$27/12,(Assumptions!$C$26-A20)*12,-$C$11),0)</f>
        <v>1623930.2875769134</v>
      </c>
      <c r="H20" s="21">
        <f t="shared" si="4"/>
        <v>1174317.4779748106</v>
      </c>
      <c r="I20" s="21">
        <f>IF(A20&lt;=Assumptions!$C$26,G19*'Scenario Tables'!D$27,0)</f>
        <v>28003.203783818506</v>
      </c>
      <c r="J20" s="21">
        <f>IF(A20&lt;=Assumptions!$C$26,$C$12-I20,0)</f>
        <v>51508.441190733589</v>
      </c>
      <c r="K20" s="21">
        <f>IF(Assumptions!$C$39="Investment",Assumptions!$D$35*12*(1+Assumptions!$D$36)^(A20-1)*(1-Assumptions!$C$40),Assumptions!$D$35*12*(1+Assumptions!$D$36)^(A20-1))</f>
        <v>67543.766783999992</v>
      </c>
      <c r="L20" s="21">
        <f>IF(Assumptions!$C$39="Investment",_xlfn.LET(_xlpm.gr,Assumptions!$D$35*12*(1+Assumptions!$D$36)^(A20-1),Assumptions!$D$37*(1+Assumptions!$D$36)^(A20-1)+MIN(_xlpm.gr,30000)*0.12+MAX(0,MIN(_xlpm.gr,45000)-30000)*0.2+MAX(0,MIN(_xlpm.gr,60000)-45000)*0.28+MAX(0,_xlpm.gr-60000)*0.36+K20*Assumptions!$C$41),Assumptions!$D$37*(1+Assumptions!$D$36)^(A20-1)+MAX(0,MIN(K20,25000)-12000)*0.04+MAX(0,MIN(K20,38000)-25000)*0.06+MAX(0,MIN(K20,50000)-38000)*0.08+MAX(0,MIN(K20,65000)-50000)*0.1+MAX(0,MIN(K20,80000)-65000)*0.12+MAX(0,MIN(K20,95000)-80000)*0.14+MAX(0,MIN(K20,110000)-95000)*0.16+MAX(0,K20-110000)*0.23)</f>
        <v>10559.844974079999</v>
      </c>
      <c r="M20" s="21">
        <f>IF(Assumptions!$C$39="Investment",(K20-I20-L20)*(1-Assumptions!$C$42),K20-I20-L20)</f>
        <v>28980.718026101487</v>
      </c>
      <c r="N20" s="21">
        <f t="shared" si="5"/>
        <v>126253.79632315454</v>
      </c>
      <c r="O20" s="31">
        <f t="shared" si="6"/>
        <v>0.53867594074267644</v>
      </c>
      <c r="P20" s="21">
        <f>Assumptions!$C$8*(1+Assumptions!$C$9)^A20-Assumptions!$C$8+$C$7*((1+Assumptions!$C$9)^A20-1)</f>
        <v>39422.463867187391</v>
      </c>
      <c r="Q20" s="21">
        <f t="shared" si="7"/>
        <v>1134895.0141076231</v>
      </c>
      <c r="R20" s="21">
        <f>N20/(1+Assumptions!$C$43)^A20</f>
        <v>111589.95920719884</v>
      </c>
      <c r="S20">
        <f>((H20/$C$10)^(1/A20))/(1+Assumptions!$C$43)-1</f>
        <v>6.3421820016361652E-2</v>
      </c>
    </row>
    <row r="21" spans="1:19" x14ac:dyDescent="0.2">
      <c r="A21" s="29">
        <f t="shared" si="0"/>
        <v>6</v>
      </c>
      <c r="B21" s="29">
        <f t="shared" si="1"/>
        <v>38</v>
      </c>
      <c r="C21" s="30">
        <f t="shared" si="2"/>
        <v>87</v>
      </c>
      <c r="D21" s="31">
        <f>VLOOKUP(C21,'Bala Table'!$A:$B,2,FALSE)</f>
        <v>0.83499999999999996</v>
      </c>
      <c r="E21" s="21">
        <f>E20*(1+Assumptions!$D$34)</f>
        <v>3431184.760140805</v>
      </c>
      <c r="F21" s="21">
        <f t="shared" si="3"/>
        <v>2865039.2747175721</v>
      </c>
      <c r="G21" s="21">
        <f>IF(A21&lt;=Assumptions!$C$26,PV('Scenario Tables'!D$27/12,(Assumptions!$C$26-A21)*12,-$C$11),0)</f>
        <v>1571151.5170082878</v>
      </c>
      <c r="H21" s="21">
        <f t="shared" si="4"/>
        <v>1293887.7577092843</v>
      </c>
      <c r="I21" s="21">
        <f>IF(A21&lt;=Assumptions!$C$26,G20*'Scenario Tables'!D$27,0)</f>
        <v>27135.875105410221</v>
      </c>
      <c r="J21" s="21">
        <f>IF(A21&lt;=Assumptions!$C$26,$C$12-I21,0)</f>
        <v>52375.769869141877</v>
      </c>
      <c r="K21" s="21">
        <f>IF(Assumptions!$C$39="Investment",Assumptions!$D$35*12*(1+Assumptions!$D$36)^(A21-1)*(1-Assumptions!$C$40),Assumptions!$D$35*12*(1+Assumptions!$D$36)^(A21-1))</f>
        <v>68894.642119680007</v>
      </c>
      <c r="L21" s="21">
        <f>IF(Assumptions!$C$39="Investment",_xlfn.LET(_xlpm.gr,Assumptions!$D$35*12*(1+Assumptions!$D$36)^(A21-1),Assumptions!$D$37*(1+Assumptions!$D$36)^(A21-1)+MIN(_xlpm.gr,30000)*0.12+MAX(0,MIN(_xlpm.gr,45000)-30000)*0.2+MAX(0,MIN(_xlpm.gr,60000)-45000)*0.28+MAX(0,_xlpm.gr-60000)*0.36+K21*Assumptions!$C$41),Assumptions!$D$37*(1+Assumptions!$D$36)^(A21-1)+MAX(0,MIN(K21,25000)-12000)*0.04+MAX(0,MIN(K21,38000)-25000)*0.06+MAX(0,MIN(K21,50000)-38000)*0.08+MAX(0,MIN(K21,65000)-50000)*0.1+MAX(0,MIN(K21,80000)-65000)*0.12+MAX(0,MIN(K21,95000)-80000)*0.14+MAX(0,MIN(K21,110000)-95000)*0.16+MAX(0,K21-110000)*0.23)</f>
        <v>10851.8418735616</v>
      </c>
      <c r="M21" s="21">
        <f>IF(Assumptions!$C$39="Investment",(K21-I21-L21)*(1-Assumptions!$C$42),K21-I21-L21)</f>
        <v>30906.92514070819</v>
      </c>
      <c r="N21" s="21">
        <f t="shared" si="5"/>
        <v>157160.72146386275</v>
      </c>
      <c r="O21" s="31">
        <f t="shared" si="6"/>
        <v>0.69534559448281485</v>
      </c>
      <c r="P21" s="21">
        <f>Assumptions!$C$8*(1+Assumptions!$C$9)^A21-Assumptions!$C$8+$C$7*((1+Assumptions!$C$9)^A21-1)</f>
        <v>47908.025463867059</v>
      </c>
      <c r="Q21" s="21">
        <f t="shared" si="7"/>
        <v>1245979.7322454173</v>
      </c>
      <c r="R21" s="21">
        <f>N21/(1+Assumptions!$C$43)^A21</f>
        <v>135519.19757038067</v>
      </c>
      <c r="S21">
        <f>((H21/$C$10)^(1/A21))/(1+Assumptions!$C$43)-1</f>
        <v>6.5334132270095324E-2</v>
      </c>
    </row>
    <row r="22" spans="1:19" x14ac:dyDescent="0.2">
      <c r="A22" s="29">
        <f t="shared" si="0"/>
        <v>7</v>
      </c>
      <c r="B22" s="29">
        <f t="shared" si="1"/>
        <v>39</v>
      </c>
      <c r="C22" s="30">
        <f t="shared" si="2"/>
        <v>86</v>
      </c>
      <c r="D22" s="31">
        <f>VLOOKUP(C22,'Bala Table'!$A:$B,2,FALSE)</f>
        <v>0.83</v>
      </c>
      <c r="E22" s="21">
        <f>E21*(1+Assumptions!$D$34)</f>
        <v>3534120.3029450295</v>
      </c>
      <c r="F22" s="21">
        <f t="shared" si="3"/>
        <v>2933319.8514443743</v>
      </c>
      <c r="G22" s="21">
        <f>IF(A22&lt;=Assumptions!$C$26,PV('Scenario Tables'!D$27/12,(Assumptions!$C$26-A22)*12,-$C$11),0)</f>
        <v>1517484.0272265195</v>
      </c>
      <c r="H22" s="21">
        <f t="shared" si="4"/>
        <v>1415835.8242178548</v>
      </c>
      <c r="I22" s="21">
        <f>IF(A22&lt;=Assumptions!$C$26,G21*'Scenario Tables'!D$27,0)</f>
        <v>26253.941849208488</v>
      </c>
      <c r="J22" s="21">
        <f>IF(A22&lt;=Assumptions!$C$26,$C$12-I22,0)</f>
        <v>53257.703125343607</v>
      </c>
      <c r="K22" s="21">
        <f>IF(Assumptions!$C$39="Investment",Assumptions!$D$35*12*(1+Assumptions!$D$36)^(A22-1)*(1-Assumptions!$C$40),Assumptions!$D$35*12*(1+Assumptions!$D$36)^(A22-1))</f>
        <v>70272.534962073609</v>
      </c>
      <c r="L22" s="21">
        <f>IF(Assumptions!$C$39="Investment",_xlfn.LET(_xlpm.gr,Assumptions!$D$35*12*(1+Assumptions!$D$36)^(A22-1),Assumptions!$D$37*(1+Assumptions!$D$36)^(A22-1)+MIN(_xlpm.gr,30000)*0.12+MAX(0,MIN(_xlpm.gr,45000)-30000)*0.2+MAX(0,MIN(_xlpm.gr,60000)-45000)*0.28+MAX(0,_xlpm.gr-60000)*0.36+K22*Assumptions!$C$41),Assumptions!$D$37*(1+Assumptions!$D$36)^(A22-1)+MAX(0,MIN(K22,25000)-12000)*0.04+MAX(0,MIN(K22,38000)-25000)*0.06+MAX(0,MIN(K22,50000)-38000)*0.08+MAX(0,MIN(K22,65000)-50000)*0.1+MAX(0,MIN(K22,80000)-65000)*0.12+MAX(0,MIN(K22,95000)-80000)*0.14+MAX(0,MIN(K22,110000)-95000)*0.16+MAX(0,K22-110000)*0.23)</f>
        <v>11149.678711032831</v>
      </c>
      <c r="M22" s="21">
        <f>IF(Assumptions!$C$39="Investment",(K22-I22-L22)*(1-Assumptions!$C$42),K22-I22-L22)</f>
        <v>32868.914401832291</v>
      </c>
      <c r="N22" s="21">
        <f t="shared" si="5"/>
        <v>190029.63586569505</v>
      </c>
      <c r="O22" s="31">
        <f t="shared" si="6"/>
        <v>0.85513079693115146</v>
      </c>
      <c r="P22" s="21">
        <f>Assumptions!$C$8*(1+Assumptions!$C$9)^A22-Assumptions!$C$8+$C$7*((1+Assumptions!$C$9)^A22-1)</f>
        <v>56605.726100463755</v>
      </c>
      <c r="Q22" s="21">
        <f t="shared" si="7"/>
        <v>1359230.0981173911</v>
      </c>
      <c r="R22" s="21">
        <f>N22/(1+Assumptions!$C$43)^A22</f>
        <v>159865.32628937048</v>
      </c>
      <c r="S22">
        <f>((H22/$C$10)^(1/A22))/(1+Assumptions!$C$43)-1</f>
        <v>6.5651876236846318E-2</v>
      </c>
    </row>
    <row r="23" spans="1:19" x14ac:dyDescent="0.2">
      <c r="A23" s="29">
        <f t="shared" si="0"/>
        <v>8</v>
      </c>
      <c r="B23" s="29">
        <f t="shared" si="1"/>
        <v>40</v>
      </c>
      <c r="C23" s="30">
        <f t="shared" si="2"/>
        <v>85</v>
      </c>
      <c r="D23" s="31">
        <f>VLOOKUP(C23,'Bala Table'!$A:$B,2,FALSE)</f>
        <v>0.82399999999999995</v>
      </c>
      <c r="E23" s="21">
        <f>E22*(1+Assumptions!$D$34)</f>
        <v>3640143.9120333805</v>
      </c>
      <c r="F23" s="21">
        <f t="shared" si="3"/>
        <v>2999478.5835155053</v>
      </c>
      <c r="G23" s="21">
        <f>IF(A23&lt;=Assumptions!$C$26,PV('Scenario Tables'!D$27/12,(Assumptions!$C$26-A23)*12,-$C$11),0)</f>
        <v>1462912.8534677189</v>
      </c>
      <c r="H23" s="21">
        <f t="shared" si="4"/>
        <v>1536565.7300477864</v>
      </c>
      <c r="I23" s="21">
        <f>IF(A23&lt;=Assumptions!$C$26,G22*'Scenario Tables'!D$27,0)</f>
        <v>25357.158094955139</v>
      </c>
      <c r="J23" s="21">
        <f>IF(A23&lt;=Assumptions!$C$26,$C$12-I23,0)</f>
        <v>54154.486879596952</v>
      </c>
      <c r="K23" s="21">
        <f>IF(Assumptions!$C$39="Investment",Assumptions!$D$35*12*(1+Assumptions!$D$36)^(A23-1)*(1-Assumptions!$C$40),Assumptions!$D$35*12*(1+Assumptions!$D$36)^(A23-1))</f>
        <v>71677.985661315062</v>
      </c>
      <c r="L23" s="21">
        <f>IF(Assumptions!$C$39="Investment",_xlfn.LET(_xlpm.gr,Assumptions!$D$35*12*(1+Assumptions!$D$36)^(A23-1),Assumptions!$D$37*(1+Assumptions!$D$36)^(A23-1)+MIN(_xlpm.gr,30000)*0.12+MAX(0,MIN(_xlpm.gr,45000)-30000)*0.2+MAX(0,MIN(_xlpm.gr,60000)-45000)*0.28+MAX(0,_xlpm.gr-60000)*0.36+K23*Assumptions!$C$41),Assumptions!$D$37*(1+Assumptions!$D$36)^(A23-1)+MAX(0,MIN(K23,25000)-12000)*0.04+MAX(0,MIN(K23,38000)-25000)*0.06+MAX(0,MIN(K23,50000)-38000)*0.08+MAX(0,MIN(K23,65000)-50000)*0.1+MAX(0,MIN(K23,80000)-65000)*0.12+MAX(0,MIN(K23,95000)-80000)*0.14+MAX(0,MIN(K23,110000)-95000)*0.16+MAX(0,K23-110000)*0.23)</f>
        <v>11453.472285253487</v>
      </c>
      <c r="M23" s="21">
        <f>IF(Assumptions!$C$39="Investment",(K23-I23-L23)*(1-Assumptions!$C$42),K23-I23-L23)</f>
        <v>34867.355281106429</v>
      </c>
      <c r="N23" s="21">
        <f t="shared" si="5"/>
        <v>224896.99114680148</v>
      </c>
      <c r="O23" s="31">
        <f t="shared" si="6"/>
        <v>1.0133198768969947</v>
      </c>
      <c r="P23" s="21">
        <f>Assumptions!$C$8*(1+Assumptions!$C$9)^A23-Assumptions!$C$8+$C$7*((1+Assumptions!$C$9)^A23-1)</f>
        <v>65520.869252975317</v>
      </c>
      <c r="Q23" s="21">
        <f t="shared" si="7"/>
        <v>1471044.860794811</v>
      </c>
      <c r="R23" s="21">
        <f>N23/(1+Assumptions!$C$43)^A23</f>
        <v>184583.43426991958</v>
      </c>
      <c r="S23">
        <f>((H23/$C$10)^(1/A23))/(1+Assumptions!$C$43)-1</f>
        <v>6.4793109978706465E-2</v>
      </c>
    </row>
    <row r="24" spans="1:19" x14ac:dyDescent="0.2">
      <c r="A24" s="29">
        <f t="shared" si="0"/>
        <v>9</v>
      </c>
      <c r="B24" s="29">
        <f t="shared" si="1"/>
        <v>41</v>
      </c>
      <c r="C24" s="30">
        <f t="shared" si="2"/>
        <v>84</v>
      </c>
      <c r="D24" s="31">
        <f>VLOOKUP(C24,'Bala Table'!$A:$B,2,FALSE)</f>
        <v>0.81799999999999995</v>
      </c>
      <c r="E24" s="21">
        <f>E23*(1+Assumptions!$D$34)</f>
        <v>3749348.2293943819</v>
      </c>
      <c r="F24" s="21">
        <f t="shared" si="3"/>
        <v>3066966.851644604</v>
      </c>
      <c r="G24" s="21">
        <f>IF(A24&lt;=Assumptions!$C$26,PV('Scenario Tables'!D$27/12,(Assumptions!$C$26-A24)*12,-$C$11),0)</f>
        <v>1407422.7789827224</v>
      </c>
      <c r="H24" s="21">
        <f t="shared" si="4"/>
        <v>1659544.0726618816</v>
      </c>
      <c r="I24" s="21">
        <f>IF(A24&lt;=Assumptions!$C$26,G23*'Scenario Tables'!D$27,0)</f>
        <v>24445.273781445583</v>
      </c>
      <c r="J24" s="21">
        <f>IF(A24&lt;=Assumptions!$C$26,$C$12-I24,0)</f>
        <v>55066.371193106512</v>
      </c>
      <c r="K24" s="21">
        <f>IF(Assumptions!$C$39="Investment",Assumptions!$D$35*12*(1+Assumptions!$D$36)^(A24-1)*(1-Assumptions!$C$40),Assumptions!$D$35*12*(1+Assumptions!$D$36)^(A24-1))</f>
        <v>73111.545374541369</v>
      </c>
      <c r="L24" s="21">
        <f>IF(Assumptions!$C$39="Investment",_xlfn.LET(_xlpm.gr,Assumptions!$D$35*12*(1+Assumptions!$D$36)^(A24-1),Assumptions!$D$37*(1+Assumptions!$D$36)^(A24-1)+MIN(_xlpm.gr,30000)*0.12+MAX(0,MIN(_xlpm.gr,45000)-30000)*0.2+MAX(0,MIN(_xlpm.gr,60000)-45000)*0.28+MAX(0,_xlpm.gr-60000)*0.36+K24*Assumptions!$C$41),Assumptions!$D$37*(1+Assumptions!$D$36)^(A24-1)+MAX(0,MIN(K24,25000)-12000)*0.04+MAX(0,MIN(K24,38000)-25000)*0.06+MAX(0,MIN(K24,50000)-38000)*0.08+MAX(0,MIN(K24,65000)-50000)*0.1+MAX(0,MIN(K24,80000)-65000)*0.12+MAX(0,MIN(K24,95000)-80000)*0.14+MAX(0,MIN(K24,110000)-95000)*0.16+MAX(0,K24-110000)*0.23)</f>
        <v>11763.341730958557</v>
      </c>
      <c r="M24" s="21">
        <f>IF(Assumptions!$C$39="Investment",(K24-I24-L24)*(1-Assumptions!$C$42),K24-I24-L24)</f>
        <v>36902.929862137229</v>
      </c>
      <c r="N24" s="21">
        <f t="shared" si="5"/>
        <v>261799.92100893869</v>
      </c>
      <c r="O24" s="31">
        <f t="shared" si="6"/>
        <v>1.1744550218316059</v>
      </c>
      <c r="P24" s="21">
        <f>Assumptions!$C$8*(1+Assumptions!$C$9)^A24-Assumptions!$C$8+$C$7*((1+Assumptions!$C$9)^A24-1)</f>
        <v>74658.890984299651</v>
      </c>
      <c r="Q24" s="21">
        <f t="shared" si="7"/>
        <v>1584885.181677582</v>
      </c>
      <c r="R24" s="21">
        <f>N24/(1+Assumptions!$C$43)^A24</f>
        <v>209630.62186070712</v>
      </c>
      <c r="S24">
        <f>((H24/$C$10)^(1/A24))/(1+Assumptions!$C$43)-1</f>
        <v>6.3553927225646012E-2</v>
      </c>
    </row>
    <row r="25" spans="1:19" x14ac:dyDescent="0.2">
      <c r="A25" s="29">
        <f t="shared" si="0"/>
        <v>10</v>
      </c>
      <c r="B25" s="29">
        <f t="shared" si="1"/>
        <v>42</v>
      </c>
      <c r="C25" s="30">
        <f t="shared" si="2"/>
        <v>83</v>
      </c>
      <c r="D25" s="31">
        <f>VLOOKUP(C25,'Bala Table'!$A:$B,2,FALSE)</f>
        <v>0.81200000000000006</v>
      </c>
      <c r="E25" s="21">
        <f>E24*(1+Assumptions!$D$34)</f>
        <v>3861828.6762762135</v>
      </c>
      <c r="F25" s="21">
        <f t="shared" si="3"/>
        <v>3135804.8851362858</v>
      </c>
      <c r="G25" s="21">
        <f>IF(A25&lt;=Assumptions!$C$26,PV('Scenario Tables'!D$27/12,(Assumptions!$C$26-A25)*12,-$C$11),0)</f>
        <v>1350998.3307940129</v>
      </c>
      <c r="H25" s="21">
        <f t="shared" si="4"/>
        <v>1784806.5543422729</v>
      </c>
      <c r="I25" s="21">
        <f>IF(A25&lt;=Assumptions!$C$26,G24*'Scenario Tables'!D$27,0)</f>
        <v>23518.034636801291</v>
      </c>
      <c r="J25" s="21">
        <f>IF(A25&lt;=Assumptions!$C$26,$C$12-I25,0)</f>
        <v>55993.610337750804</v>
      </c>
      <c r="K25" s="21">
        <f>IF(Assumptions!$C$39="Investment",Assumptions!$D$35*12*(1+Assumptions!$D$36)^(A25-1)*(1-Assumptions!$C$40),Assumptions!$D$35*12*(1+Assumptions!$D$36)^(A25-1))</f>
        <v>74573.776282032195</v>
      </c>
      <c r="L25" s="21">
        <f>IF(Assumptions!$C$39="Investment",_xlfn.LET(_xlpm.gr,Assumptions!$D$35*12*(1+Assumptions!$D$36)^(A25-1),Assumptions!$D$37*(1+Assumptions!$D$36)^(A25-1)+MIN(_xlpm.gr,30000)*0.12+MAX(0,MIN(_xlpm.gr,45000)-30000)*0.2+MAX(0,MIN(_xlpm.gr,60000)-45000)*0.28+MAX(0,_xlpm.gr-60000)*0.36+K25*Assumptions!$C$41),Assumptions!$D$37*(1+Assumptions!$D$36)^(A25-1)+MAX(0,MIN(K25,25000)-12000)*0.04+MAX(0,MIN(K25,38000)-25000)*0.06+MAX(0,MIN(K25,50000)-38000)*0.08+MAX(0,MIN(K25,65000)-50000)*0.1+MAX(0,MIN(K25,80000)-65000)*0.12+MAX(0,MIN(K25,95000)-80000)*0.14+MAX(0,MIN(K25,110000)-95000)*0.16+MAX(0,K25-110000)*0.23)</f>
        <v>12079.408565577729</v>
      </c>
      <c r="M25" s="21">
        <f>IF(Assumptions!$C$39="Investment",(K25-I25-L25)*(1-Assumptions!$C$42),K25-I25-L25)</f>
        <v>38976.333079653174</v>
      </c>
      <c r="N25" s="21">
        <f t="shared" si="5"/>
        <v>300776.25408859184</v>
      </c>
      <c r="O25" s="31">
        <f t="shared" si="6"/>
        <v>1.3385830114547601</v>
      </c>
      <c r="P25" s="21">
        <f>Assumptions!$C$8*(1+Assumptions!$C$9)^A25-Assumptions!$C$8+$C$7*((1+Assumptions!$C$9)^A25-1)</f>
        <v>84025.363258907106</v>
      </c>
      <c r="Q25" s="21">
        <f t="shared" si="7"/>
        <v>1700781.1910833658</v>
      </c>
      <c r="R25" s="21">
        <f>N25/(1+Assumptions!$C$43)^A25</f>
        <v>234965.92897105913</v>
      </c>
      <c r="S25">
        <f>((H25/$C$10)^(1/A25))/(1+Assumptions!$C$43)-1</f>
        <v>6.2114685326173813E-2</v>
      </c>
    </row>
    <row r="26" spans="1:19" x14ac:dyDescent="0.2">
      <c r="A26" s="29">
        <f t="shared" si="0"/>
        <v>11</v>
      </c>
      <c r="B26" s="29">
        <f t="shared" si="1"/>
        <v>43</v>
      </c>
      <c r="C26" s="30">
        <f t="shared" si="2"/>
        <v>82</v>
      </c>
      <c r="D26" s="31">
        <f>VLOOKUP(C26,'Bala Table'!$A:$B,2,FALSE)</f>
        <v>0.80600000000000005</v>
      </c>
      <c r="E26" s="21">
        <f>E25*(1+Assumptions!$D$34)</f>
        <v>3977683.5365645001</v>
      </c>
      <c r="F26" s="21">
        <f t="shared" si="3"/>
        <v>3206012.9304709872</v>
      </c>
      <c r="G26" s="21">
        <f>IF(A26&lt;=Assumptions!$C$26,PV('Scenario Tables'!D$27/12,(Assumptions!$C$26-A26)*12,-$C$11),0)</f>
        <v>1293623.7753812047</v>
      </c>
      <c r="H26" s="21">
        <f t="shared" si="4"/>
        <v>1912389.1550897826</v>
      </c>
      <c r="I26" s="21">
        <f>IF(A26&lt;=Assumptions!$C$26,G25*'Scenario Tables'!D$27,0)</f>
        <v>22575.182107567955</v>
      </c>
      <c r="J26" s="21">
        <f>IF(A26&lt;=Assumptions!$C$26,$C$12-I26,0)</f>
        <v>56936.46286698414</v>
      </c>
      <c r="K26" s="21">
        <f>IF(Assumptions!$C$39="Investment",Assumptions!$D$35*12*(1+Assumptions!$D$36)^(A26-1)*(1-Assumptions!$C$40),Assumptions!$D$35*12*(1+Assumptions!$D$36)^(A26-1))</f>
        <v>76065.251807672845</v>
      </c>
      <c r="L26" s="21">
        <f>IF(Assumptions!$C$39="Investment",_xlfn.LET(_xlpm.gr,Assumptions!$D$35*12*(1+Assumptions!$D$36)^(A26-1),Assumptions!$D$37*(1+Assumptions!$D$36)^(A26-1)+MIN(_xlpm.gr,30000)*0.12+MAX(0,MIN(_xlpm.gr,45000)-30000)*0.2+MAX(0,MIN(_xlpm.gr,60000)-45000)*0.28+MAX(0,_xlpm.gr-60000)*0.36+K26*Assumptions!$C$41),Assumptions!$D$37*(1+Assumptions!$D$36)^(A26-1)+MAX(0,MIN(K26,25000)-12000)*0.04+MAX(0,MIN(K26,38000)-25000)*0.06+MAX(0,MIN(K26,50000)-38000)*0.08+MAX(0,MIN(K26,65000)-50000)*0.1+MAX(0,MIN(K26,80000)-65000)*0.12+MAX(0,MIN(K26,95000)-80000)*0.14+MAX(0,MIN(K26,110000)-95000)*0.16+MAX(0,K26-110000)*0.23)</f>
        <v>12401.796736889284</v>
      </c>
      <c r="M26" s="21">
        <f>IF(Assumptions!$C$39="Investment",(K26-I26-L26)*(1-Assumptions!$C$42),K26-I26-L26)</f>
        <v>41088.272963215604</v>
      </c>
      <c r="N26" s="21">
        <f t="shared" si="5"/>
        <v>341864.52705180744</v>
      </c>
      <c r="O26" s="31">
        <f t="shared" si="6"/>
        <v>1.5057509893734049</v>
      </c>
      <c r="P26" s="21">
        <f>Assumptions!$C$8*(1+Assumptions!$C$9)^A26-Assumptions!$C$8+$C$7*((1+Assumptions!$C$9)^A26-1)</f>
        <v>93625.997340379807</v>
      </c>
      <c r="Q26" s="21">
        <f t="shared" si="7"/>
        <v>1818763.1577494028</v>
      </c>
      <c r="R26" s="21">
        <f>N26/(1+Assumptions!$C$43)^A26</f>
        <v>260550.26550204252</v>
      </c>
      <c r="S26">
        <f>((H26/$C$10)^(1/A26))/(1+Assumptions!$C$43)-1</f>
        <v>6.0579473186194166E-2</v>
      </c>
    </row>
    <row r="27" spans="1:19" x14ac:dyDescent="0.2">
      <c r="A27" s="29">
        <f t="shared" si="0"/>
        <v>12</v>
      </c>
      <c r="B27" s="29">
        <f t="shared" si="1"/>
        <v>44</v>
      </c>
      <c r="C27" s="30">
        <f t="shared" si="2"/>
        <v>81</v>
      </c>
      <c r="D27" s="31">
        <f>VLOOKUP(C27,'Bala Table'!$A:$B,2,FALSE)</f>
        <v>0.8</v>
      </c>
      <c r="E27" s="21">
        <f>E26*(1+Assumptions!$D$34)</f>
        <v>4097014.042661435</v>
      </c>
      <c r="F27" s="21">
        <f t="shared" si="3"/>
        <v>3277611.2341291481</v>
      </c>
      <c r="G27" s="21">
        <f>IF(A27&lt;=Assumptions!$C$26,PV('Scenario Tables'!D$27/12,(Assumptions!$C$26-A27)*12,-$C$11),0)</f>
        <v>1235283.1142938675</v>
      </c>
      <c r="H27" s="21">
        <f t="shared" si="4"/>
        <v>2042328.1198352806</v>
      </c>
      <c r="I27" s="21">
        <f>IF(A27&lt;=Assumptions!$C$26,G26*'Scenario Tables'!D$27,0)</f>
        <v>21616.45328661993</v>
      </c>
      <c r="J27" s="21">
        <f>IF(A27&lt;=Assumptions!$C$26,$C$12-I27,0)</f>
        <v>57895.191687932165</v>
      </c>
      <c r="K27" s="21">
        <f>IF(Assumptions!$C$39="Investment",Assumptions!$D$35*12*(1+Assumptions!$D$36)^(A27-1)*(1-Assumptions!$C$40),Assumptions!$D$35*12*(1+Assumptions!$D$36)^(A27-1))</f>
        <v>77586.556843826285</v>
      </c>
      <c r="L27" s="21">
        <f>IF(Assumptions!$C$39="Investment",_xlfn.LET(_xlpm.gr,Assumptions!$D$35*12*(1+Assumptions!$D$36)^(A27-1),Assumptions!$D$37*(1+Assumptions!$D$36)^(A27-1)+MIN(_xlpm.gr,30000)*0.12+MAX(0,MIN(_xlpm.gr,45000)-30000)*0.2+MAX(0,MIN(_xlpm.gr,60000)-45000)*0.28+MAX(0,_xlpm.gr-60000)*0.36+K27*Assumptions!$C$41),Assumptions!$D$37*(1+Assumptions!$D$36)^(A27-1)+MAX(0,MIN(K27,25000)-12000)*0.04+MAX(0,MIN(K27,38000)-25000)*0.06+MAX(0,MIN(K27,50000)-38000)*0.08+MAX(0,MIN(K27,65000)-50000)*0.1+MAX(0,MIN(K27,80000)-65000)*0.12+MAX(0,MIN(K27,95000)-80000)*0.14+MAX(0,MIN(K27,110000)-95000)*0.16+MAX(0,K27-110000)*0.23)</f>
        <v>12730.632671627067</v>
      </c>
      <c r="M27" s="21">
        <f>IF(Assumptions!$C$39="Investment",(K27-I27-L27)*(1-Assumptions!$C$42),K27-I27-L27)</f>
        <v>43239.470885579285</v>
      </c>
      <c r="N27" s="21">
        <f t="shared" si="5"/>
        <v>385103.99793738674</v>
      </c>
      <c r="O27" s="31">
        <f t="shared" si="6"/>
        <v>1.6760064463250532</v>
      </c>
      <c r="P27" s="21">
        <f>Assumptions!$C$8*(1+Assumptions!$C$9)^A27-Assumptions!$C$8+$C$7*((1+Assumptions!$C$9)^A27-1)</f>
        <v>103466.64727388928</v>
      </c>
      <c r="Q27" s="21">
        <f t="shared" si="7"/>
        <v>1938861.4725613913</v>
      </c>
      <c r="R27" s="21">
        <f>N27/(1+Assumptions!$C$43)^A27</f>
        <v>286346.34402082022</v>
      </c>
      <c r="S27">
        <f>((H27/$C$10)^(1/A27))/(1+Assumptions!$C$43)-1</f>
        <v>5.9010007658001795E-2</v>
      </c>
    </row>
    <row r="28" spans="1:19" x14ac:dyDescent="0.2">
      <c r="A28" s="29">
        <f t="shared" si="0"/>
        <v>13</v>
      </c>
      <c r="B28" s="29">
        <f t="shared" si="1"/>
        <v>45</v>
      </c>
      <c r="C28" s="30">
        <f t="shared" si="2"/>
        <v>80</v>
      </c>
      <c r="D28" s="31">
        <f>VLOOKUP(C28,'Bala Table'!$A:$B,2,FALSE)</f>
        <v>0.79400000000000004</v>
      </c>
      <c r="E28" s="21">
        <f>E27*(1+Assumptions!$D$34)</f>
        <v>4219924.4639412779</v>
      </c>
      <c r="F28" s="21">
        <f t="shared" si="3"/>
        <v>3350620.0243693748</v>
      </c>
      <c r="G28" s="21">
        <f>IF(A28&lt;=Assumptions!$C$26,PV('Scenario Tables'!D$27/12,(Assumptions!$C$26-A28)*12,-$C$11),0)</f>
        <v>1175960.0796904897</v>
      </c>
      <c r="H28" s="21">
        <f t="shared" si="4"/>
        <v>2174659.9446788849</v>
      </c>
      <c r="I28" s="21">
        <f>IF(A28&lt;=Assumptions!$C$26,G27*'Scenario Tables'!D$27,0)</f>
        <v>20641.580839850525</v>
      </c>
      <c r="J28" s="21">
        <f>IF(A28&lt;=Assumptions!$C$26,$C$12-I28,0)</f>
        <v>58870.06413470157</v>
      </c>
      <c r="K28" s="21">
        <f>IF(Assumptions!$C$39="Investment",Assumptions!$D$35*12*(1+Assumptions!$D$36)^(A28-1)*(1-Assumptions!$C$40),Assumptions!$D$35*12*(1+Assumptions!$D$36)^(A28-1))</f>
        <v>79138.287980702822</v>
      </c>
      <c r="L28" s="21">
        <f>IF(Assumptions!$C$39="Investment",_xlfn.LET(_xlpm.gr,Assumptions!$D$35*12*(1+Assumptions!$D$36)^(A28-1),Assumptions!$D$37*(1+Assumptions!$D$36)^(A28-1)+MIN(_xlpm.gr,30000)*0.12+MAX(0,MIN(_xlpm.gr,45000)-30000)*0.2+MAX(0,MIN(_xlpm.gr,60000)-45000)*0.28+MAX(0,_xlpm.gr-60000)*0.36+K28*Assumptions!$C$41),Assumptions!$D$37*(1+Assumptions!$D$36)^(A28-1)+MAX(0,MIN(K28,25000)-12000)*0.04+MAX(0,MIN(K28,38000)-25000)*0.06+MAX(0,MIN(K28,50000)-38000)*0.08+MAX(0,MIN(K28,65000)-50000)*0.1+MAX(0,MIN(K28,80000)-65000)*0.12+MAX(0,MIN(K28,95000)-80000)*0.14+MAX(0,MIN(K28,110000)-95000)*0.16+MAX(0,K28-110000)*0.23)</f>
        <v>13066.045325059609</v>
      </c>
      <c r="M28" s="21">
        <f>IF(Assumptions!$C$39="Investment",(K28-I28-L28)*(1-Assumptions!$C$42),K28-I28-L28)</f>
        <v>45430.661815792686</v>
      </c>
      <c r="N28" s="21">
        <f t="shared" si="5"/>
        <v>430534.65975317941</v>
      </c>
      <c r="O28" s="31">
        <f t="shared" si="6"/>
        <v>1.8493972021473859</v>
      </c>
      <c r="P28" s="21">
        <f>Assumptions!$C$8*(1+Assumptions!$C$9)^A28-Assumptions!$C$8+$C$7*((1+Assumptions!$C$9)^A28-1)</f>
        <v>113553.31345573648</v>
      </c>
      <c r="Q28" s="21">
        <f t="shared" si="7"/>
        <v>2061106.6312231484</v>
      </c>
      <c r="R28" s="21">
        <f>N28/(1+Assumptions!$C$43)^A28</f>
        <v>312318.61461020104</v>
      </c>
      <c r="S28">
        <f>((H28/$C$10)^(1/A28))/(1+Assumptions!$C$43)-1</f>
        <v>5.7443407776401001E-2</v>
      </c>
    </row>
    <row r="29" spans="1:19" x14ac:dyDescent="0.2">
      <c r="A29" s="29">
        <f t="shared" si="0"/>
        <v>14</v>
      </c>
      <c r="B29" s="29">
        <f t="shared" si="1"/>
        <v>46</v>
      </c>
      <c r="C29" s="30">
        <f t="shared" si="2"/>
        <v>79</v>
      </c>
      <c r="D29" s="31">
        <f>VLOOKUP(C29,'Bala Table'!$A:$B,2,FALSE)</f>
        <v>0.78800000000000003</v>
      </c>
      <c r="E29" s="21">
        <f>E28*(1+Assumptions!$D$34)</f>
        <v>4346522.1978595164</v>
      </c>
      <c r="F29" s="21">
        <f t="shared" si="3"/>
        <v>3425059.4919132991</v>
      </c>
      <c r="G29" s="21">
        <f>IF(A29&lt;=Assumptions!$C$26,PV('Scenario Tables'!D$27/12,(Assumptions!$C$26-A29)*12,-$C$11),0)</f>
        <v>1115638.1298023101</v>
      </c>
      <c r="H29" s="21">
        <f t="shared" si="4"/>
        <v>2309421.3621109892</v>
      </c>
      <c r="I29" s="21">
        <f>IF(A29&lt;=Assumptions!$C$26,G28*'Scenario Tables'!D$27,0)</f>
        <v>19650.292931628082</v>
      </c>
      <c r="J29" s="21">
        <f>IF(A29&lt;=Assumptions!$C$26,$C$12-I29,0)</f>
        <v>59861.352042924016</v>
      </c>
      <c r="K29" s="21">
        <f>IF(Assumptions!$C$39="Investment",Assumptions!$D$35*12*(1+Assumptions!$D$36)^(A29-1)*(1-Assumptions!$C$40),Assumptions!$D$35*12*(1+Assumptions!$D$36)^(A29-1))</f>
        <v>80721.053740316871</v>
      </c>
      <c r="L29" s="21">
        <f>IF(Assumptions!$C$39="Investment",_xlfn.LET(_xlpm.gr,Assumptions!$D$35*12*(1+Assumptions!$D$36)^(A29-1),Assumptions!$D$37*(1+Assumptions!$D$36)^(A29-1)+MIN(_xlpm.gr,30000)*0.12+MAX(0,MIN(_xlpm.gr,45000)-30000)*0.2+MAX(0,MIN(_xlpm.gr,60000)-45000)*0.28+MAX(0,_xlpm.gr-60000)*0.36+K29*Assumptions!$C$41),Assumptions!$D$37*(1+Assumptions!$D$36)^(A29-1)+MAX(0,MIN(K29,25000)-12000)*0.04+MAX(0,MIN(K29,38000)-25000)*0.06+MAX(0,MIN(K29,50000)-38000)*0.08+MAX(0,MIN(K29,65000)-50000)*0.1+MAX(0,MIN(K29,80000)-65000)*0.12+MAX(0,MIN(K29,95000)-80000)*0.14+MAX(0,MIN(K29,110000)-95000)*0.16+MAX(0,K29-110000)*0.23)</f>
        <v>13422.587306367139</v>
      </c>
      <c r="M29" s="21">
        <f>IF(Assumptions!$C$39="Investment",(K29-I29-L29)*(1-Assumptions!$C$42),K29-I29-L29)</f>
        <v>47648.173502321653</v>
      </c>
      <c r="N29" s="21">
        <f t="shared" si="5"/>
        <v>478182.83325550106</v>
      </c>
      <c r="O29" s="31">
        <f t="shared" si="6"/>
        <v>2.0259713864137701</v>
      </c>
      <c r="P29" s="21">
        <f>Assumptions!$C$8*(1+Assumptions!$C$9)^A29-Assumptions!$C$8+$C$7*((1+Assumptions!$C$9)^A29-1)</f>
        <v>123892.14629212982</v>
      </c>
      <c r="Q29" s="21">
        <f t="shared" si="7"/>
        <v>2185529.2158188592</v>
      </c>
      <c r="R29" s="21">
        <f>N29/(1+Assumptions!$C$43)^A29</f>
        <v>338422.99564046855</v>
      </c>
      <c r="S29">
        <f>((H29/$C$10)^(1/A29))/(1+Assumptions!$C$43)-1</f>
        <v>5.5902022014291619E-2</v>
      </c>
    </row>
    <row r="30" spans="1:19" x14ac:dyDescent="0.2">
      <c r="A30" s="29">
        <f t="shared" si="0"/>
        <v>15</v>
      </c>
      <c r="B30" s="29">
        <f t="shared" si="1"/>
        <v>47</v>
      </c>
      <c r="C30" s="30">
        <f t="shared" si="2"/>
        <v>78</v>
      </c>
      <c r="D30" s="31">
        <f>VLOOKUP(C30,'Bala Table'!$A:$B,2,FALSE)</f>
        <v>0.78200000000000003</v>
      </c>
      <c r="E30" s="21">
        <f>E29*(1+Assumptions!$D$34)</f>
        <v>4476917.8637953019</v>
      </c>
      <c r="F30" s="21">
        <f t="shared" si="3"/>
        <v>3500949.7694879263</v>
      </c>
      <c r="G30" s="21">
        <f>IF(A30&lt;=Assumptions!$C$26,PV('Scenario Tables'!D$27/12,(Assumptions!$C$26-A30)*12,-$C$11),0)</f>
        <v>1054300.4443207779</v>
      </c>
      <c r="H30" s="21">
        <f t="shared" si="4"/>
        <v>2446649.3251671484</v>
      </c>
      <c r="I30" s="21">
        <f>IF(A30&lt;=Assumptions!$C$26,G29*'Scenario Tables'!D$27,0)</f>
        <v>18642.3131489966</v>
      </c>
      <c r="J30" s="21">
        <f>IF(A30&lt;=Assumptions!$C$26,$C$12-I30,0)</f>
        <v>60869.331825555491</v>
      </c>
      <c r="K30" s="21">
        <f>IF(Assumptions!$C$39="Investment",Assumptions!$D$35*12*(1+Assumptions!$D$36)^(A30-1)*(1-Assumptions!$C$40),Assumptions!$D$35*12*(1+Assumptions!$D$36)^(A30-1))</f>
        <v>82335.47481512322</v>
      </c>
      <c r="L30" s="21">
        <f>IF(Assumptions!$C$39="Investment",_xlfn.LET(_xlpm.gr,Assumptions!$D$35*12*(1+Assumptions!$D$36)^(A30-1),Assumptions!$D$37*(1+Assumptions!$D$36)^(A30-1)+MIN(_xlpm.gr,30000)*0.12+MAX(0,MIN(_xlpm.gr,45000)-30000)*0.2+MAX(0,MIN(_xlpm.gr,60000)-45000)*0.28+MAX(0,_xlpm.gr-60000)*0.36+K30*Assumptions!$C$41),Assumptions!$D$37*(1+Assumptions!$D$36)^(A30-1)+MAX(0,MIN(K30,25000)-12000)*0.04+MAX(0,MIN(K30,38000)-25000)*0.06+MAX(0,MIN(K30,50000)-38000)*0.08+MAX(0,MIN(K30,65000)-50000)*0.1+MAX(0,MIN(K30,80000)-65000)*0.12+MAX(0,MIN(K30,95000)-80000)*0.14+MAX(0,MIN(K30,110000)-95000)*0.16+MAX(0,K30-110000)*0.23)</f>
        <v>13803.839052494483</v>
      </c>
      <c r="M30" s="21">
        <f>IF(Assumptions!$C$39="Investment",(K30-I30-L30)*(1-Assumptions!$C$42),K30-I30-L30)</f>
        <v>49889.322613632132</v>
      </c>
      <c r="N30" s="21">
        <f t="shared" si="5"/>
        <v>528072.15586913319</v>
      </c>
      <c r="O30" s="31">
        <f t="shared" si="6"/>
        <v>2.2057774176718401</v>
      </c>
      <c r="P30" s="21">
        <f>Assumptions!$C$8*(1+Assumptions!$C$9)^A30-Assumptions!$C$8+$C$7*((1+Assumptions!$C$9)^A30-1)</f>
        <v>134489.44994943315</v>
      </c>
      <c r="Q30" s="21">
        <f t="shared" si="7"/>
        <v>2312159.8752177153</v>
      </c>
      <c r="R30" s="21">
        <f>N30/(1+Assumptions!$C$43)^A30</f>
        <v>364615.63515334472</v>
      </c>
      <c r="S30">
        <f>((H30/$C$10)^(1/A30))/(1+Assumptions!$C$43)-1</f>
        <v>5.439909775928653E-2</v>
      </c>
    </row>
    <row r="31" spans="1:19" x14ac:dyDescent="0.2">
      <c r="A31" s="29">
        <f t="shared" si="0"/>
        <v>16</v>
      </c>
      <c r="B31" s="29">
        <f t="shared" si="1"/>
        <v>48</v>
      </c>
      <c r="C31" s="30">
        <f t="shared" si="2"/>
        <v>77</v>
      </c>
      <c r="D31" s="31">
        <f>VLOOKUP(C31,'Bala Table'!$A:$B,2,FALSE)</f>
        <v>0.77600000000000002</v>
      </c>
      <c r="E31" s="21">
        <f>E30*(1+Assumptions!$D$34)</f>
        <v>4611225.3997091614</v>
      </c>
      <c r="F31" s="21">
        <f t="shared" si="3"/>
        <v>3578310.9101743093</v>
      </c>
      <c r="G31" s="21">
        <f>IF(A31&lt;=Assumptions!$C$26,PV('Scenario Tables'!D$27/12,(Assumptions!$C$26-A31)*12,-$C$11),0)</f>
        <v>991929.91970733949</v>
      </c>
      <c r="H31" s="21">
        <f t="shared" si="4"/>
        <v>2586380.99046697</v>
      </c>
      <c r="I31" s="21">
        <f>IF(A31&lt;=Assumptions!$C$26,G30*'Scenario Tables'!D$27,0)</f>
        <v>17617.360424600196</v>
      </c>
      <c r="J31" s="21">
        <f>IF(A31&lt;=Assumptions!$C$26,$C$12-I31,0)</f>
        <v>61894.284549951903</v>
      </c>
      <c r="K31" s="21">
        <f>IF(Assumptions!$C$39="Investment",Assumptions!$D$35*12*(1+Assumptions!$D$36)^(A31-1)*(1-Assumptions!$C$40),Assumptions!$D$35*12*(1+Assumptions!$D$36)^(A31-1))</f>
        <v>83982.184311425663</v>
      </c>
      <c r="L31" s="21">
        <f>IF(Assumptions!$C$39="Investment",_xlfn.LET(_xlpm.gr,Assumptions!$D$35*12*(1+Assumptions!$D$36)^(A31-1),Assumptions!$D$37*(1+Assumptions!$D$36)^(A31-1)+MIN(_xlpm.gr,30000)*0.12+MAX(0,MIN(_xlpm.gr,45000)-30000)*0.2+MAX(0,MIN(_xlpm.gr,60000)-45000)*0.28+MAX(0,_xlpm.gr-60000)*0.36+K31*Assumptions!$C$41),Assumptions!$D$37*(1+Assumptions!$D$36)^(A31-1)+MAX(0,MIN(K31,25000)-12000)*0.04+MAX(0,MIN(K31,38000)-25000)*0.06+MAX(0,MIN(K31,50000)-38000)*0.08+MAX(0,MIN(K31,65000)-50000)*0.1+MAX(0,MIN(K31,80000)-65000)*0.12+MAX(0,MIN(K31,95000)-80000)*0.14+MAX(0,MIN(K31,110000)-95000)*0.16+MAX(0,K31-110000)*0.23)</f>
        <v>14192.715833544369</v>
      </c>
      <c r="M31" s="21">
        <f>IF(Assumptions!$C$39="Investment",(K31-I31-L31)*(1-Assumptions!$C$42),K31-I31-L31)</f>
        <v>52172.108053281103</v>
      </c>
      <c r="N31" s="21">
        <f t="shared" si="5"/>
        <v>580244.26392241428</v>
      </c>
      <c r="O31" s="31">
        <f t="shared" si="6"/>
        <v>2.3888639812198242</v>
      </c>
      <c r="P31" s="21">
        <f>Assumptions!$C$8*(1+Assumptions!$C$9)^A31-Assumptions!$C$8+$C$7*((1+Assumptions!$C$9)^A31-1)</f>
        <v>145351.68619816896</v>
      </c>
      <c r="Q31" s="21">
        <f t="shared" si="7"/>
        <v>2441029.3042688011</v>
      </c>
      <c r="R31" s="21">
        <f>N31/(1+Assumptions!$C$43)^A31</f>
        <v>390867.00369933387</v>
      </c>
      <c r="S31">
        <f>((H31/$C$10)^(1/A31))/(1+Assumptions!$C$43)-1</f>
        <v>5.2942167180269228E-2</v>
      </c>
    </row>
    <row r="32" spans="1:19" x14ac:dyDescent="0.2">
      <c r="A32" s="29">
        <f t="shared" si="0"/>
        <v>17</v>
      </c>
      <c r="B32" s="29">
        <f t="shared" si="1"/>
        <v>49</v>
      </c>
      <c r="C32" s="30">
        <f t="shared" si="2"/>
        <v>76</v>
      </c>
      <c r="D32" s="31">
        <f>VLOOKUP(C32,'Bala Table'!$A:$B,2,FALSE)</f>
        <v>0.77</v>
      </c>
      <c r="E32" s="21">
        <f>E31*(1+Assumptions!$D$34)</f>
        <v>4749562.1617004359</v>
      </c>
      <c r="F32" s="21">
        <f t="shared" si="3"/>
        <v>3657162.8645093357</v>
      </c>
      <c r="G32" s="21">
        <f>IF(A32&lt;=Assumptions!$C$26,PV('Scenario Tables'!D$27/12,(Assumptions!$C$26-A32)*12,-$C$11),0)</f>
        <v>928509.16442424722</v>
      </c>
      <c r="H32" s="21">
        <f t="shared" si="4"/>
        <v>2728653.7000850886</v>
      </c>
      <c r="I32" s="21">
        <f>IF(A32&lt;=Assumptions!$C$26,G31*'Scenario Tables'!D$27,0)</f>
        <v>16575.148958309641</v>
      </c>
      <c r="J32" s="21">
        <f>IF(A32&lt;=Assumptions!$C$26,$C$12-I32,0)</f>
        <v>62936.496016242454</v>
      </c>
      <c r="K32" s="21">
        <f>IF(Assumptions!$C$39="Investment",Assumptions!$D$35*12*(1+Assumptions!$D$36)^(A32-1)*(1-Assumptions!$C$40),Assumptions!$D$35*12*(1+Assumptions!$D$36)^(A32-1))</f>
        <v>85661.827997654196</v>
      </c>
      <c r="L32" s="21">
        <f>IF(Assumptions!$C$39="Investment",_xlfn.LET(_xlpm.gr,Assumptions!$D$35*12*(1+Assumptions!$D$36)^(A32-1),Assumptions!$D$37*(1+Assumptions!$D$36)^(A32-1)+MIN(_xlpm.gr,30000)*0.12+MAX(0,MIN(_xlpm.gr,45000)-30000)*0.2+MAX(0,MIN(_xlpm.gr,60000)-45000)*0.28+MAX(0,_xlpm.gr-60000)*0.36+K32*Assumptions!$C$41),Assumptions!$D$37*(1+Assumptions!$D$36)^(A32-1)+MAX(0,MIN(K32,25000)-12000)*0.04+MAX(0,MIN(K32,38000)-25000)*0.06+MAX(0,MIN(K32,50000)-38000)*0.08+MAX(0,MIN(K32,65000)-50000)*0.1+MAX(0,MIN(K32,80000)-65000)*0.12+MAX(0,MIN(K32,95000)-80000)*0.14+MAX(0,MIN(K32,110000)-95000)*0.16+MAX(0,K32-110000)*0.23)</f>
        <v>14589.37015021526</v>
      </c>
      <c r="M32" s="21">
        <f>IF(Assumptions!$C$39="Investment",(K32-I32-L32)*(1-Assumptions!$C$42),K32-I32-L32)</f>
        <v>54497.308889129294</v>
      </c>
      <c r="N32" s="21">
        <f t="shared" si="5"/>
        <v>634741.57281154359</v>
      </c>
      <c r="O32" s="31">
        <f t="shared" si="6"/>
        <v>2.5752800053525795</v>
      </c>
      <c r="P32" s="21">
        <f>Assumptions!$C$8*(1+Assumptions!$C$9)^A32-Assumptions!$C$8+$C$7*((1+Assumptions!$C$9)^A32-1)</f>
        <v>156485.47835312312</v>
      </c>
      <c r="Q32" s="21">
        <f t="shared" si="7"/>
        <v>2572168.2217319654</v>
      </c>
      <c r="R32" s="21">
        <f>N32/(1+Assumptions!$C$43)^A32</f>
        <v>417149.0241714943</v>
      </c>
      <c r="S32">
        <f>((H32/$C$10)^(1/A32))/(1+Assumptions!$C$43)-1</f>
        <v>5.153512733515897E-2</v>
      </c>
    </row>
    <row r="33" spans="1:19" x14ac:dyDescent="0.2">
      <c r="A33" s="29">
        <f t="shared" si="0"/>
        <v>18</v>
      </c>
      <c r="B33" s="29">
        <f t="shared" si="1"/>
        <v>50</v>
      </c>
      <c r="C33" s="30">
        <f t="shared" si="2"/>
        <v>75</v>
      </c>
      <c r="D33" s="31">
        <f>VLOOKUP(C33,'Bala Table'!$A:$B,2,FALSE)</f>
        <v>0.76400000000000001</v>
      </c>
      <c r="E33" s="21">
        <f>E32*(1+Assumptions!$D$34)</f>
        <v>4892049.0265514487</v>
      </c>
      <c r="F33" s="21">
        <f t="shared" si="3"/>
        <v>3737525.4562853067</v>
      </c>
      <c r="G33" s="21">
        <f>IF(A33&lt;=Assumptions!$C$26,PV('Scenario Tables'!D$27/12,(Assumptions!$C$26-A33)*12,-$C$11),0)</f>
        <v>864020.49408506276</v>
      </c>
      <c r="H33" s="21">
        <f t="shared" si="4"/>
        <v>2873504.962200244</v>
      </c>
      <c r="I33" s="21">
        <f>IF(A33&lt;=Assumptions!$C$26,G32*'Scenario Tables'!D$27,0)</f>
        <v>15515.388137529171</v>
      </c>
      <c r="J33" s="21">
        <f>IF(A33&lt;=Assumptions!$C$26,$C$12-I33,0)</f>
        <v>63996.256837022927</v>
      </c>
      <c r="K33" s="21">
        <f>IF(Assumptions!$C$39="Investment",Assumptions!$D$35*12*(1+Assumptions!$D$36)^(A33-1)*(1-Assumptions!$C$40),Assumptions!$D$35*12*(1+Assumptions!$D$36)^(A33-1))</f>
        <v>87375.064557607286</v>
      </c>
      <c r="L33" s="21">
        <f>IF(Assumptions!$C$39="Investment",_xlfn.LET(_xlpm.gr,Assumptions!$D$35*12*(1+Assumptions!$D$36)^(A33-1),Assumptions!$D$37*(1+Assumptions!$D$36)^(A33-1)+MIN(_xlpm.gr,30000)*0.12+MAX(0,MIN(_xlpm.gr,45000)-30000)*0.2+MAX(0,MIN(_xlpm.gr,60000)-45000)*0.28+MAX(0,_xlpm.gr-60000)*0.36+K33*Assumptions!$C$41),Assumptions!$D$37*(1+Assumptions!$D$36)^(A33-1)+MAX(0,MIN(K33,25000)-12000)*0.04+MAX(0,MIN(K33,38000)-25000)*0.06+MAX(0,MIN(K33,50000)-38000)*0.08+MAX(0,MIN(K33,65000)-50000)*0.1+MAX(0,MIN(K33,80000)-65000)*0.12+MAX(0,MIN(K33,95000)-80000)*0.14+MAX(0,MIN(K33,110000)-95000)*0.16+MAX(0,K33-110000)*0.23)</f>
        <v>14993.957553219567</v>
      </c>
      <c r="M33" s="21">
        <f>IF(Assumptions!$C$39="Investment",(K33-I33-L33)*(1-Assumptions!$C$42),K33-I33-L33)</f>
        <v>56865.718866858551</v>
      </c>
      <c r="N33" s="21">
        <f t="shared" si="5"/>
        <v>691607.29167840211</v>
      </c>
      <c r="O33" s="31">
        <f t="shared" si="6"/>
        <v>2.765074636006609</v>
      </c>
      <c r="P33" s="21">
        <f>Assumptions!$C$8*(1+Assumptions!$C$9)^A33-Assumptions!$C$8+$C$7*((1+Assumptions!$C$9)^A33-1)</f>
        <v>167897.6153119512</v>
      </c>
      <c r="Q33" s="21">
        <f t="shared" si="7"/>
        <v>2705607.3468882926</v>
      </c>
      <c r="R33" s="21">
        <f>N33/(1+Assumptions!$C$43)^A33</f>
        <v>443435.01807588944</v>
      </c>
      <c r="S33">
        <f>((H33/$C$10)^(1/A33))/(1+Assumptions!$C$43)-1</f>
        <v>5.0179548025571785E-2</v>
      </c>
    </row>
    <row r="34" spans="1:19" x14ac:dyDescent="0.2">
      <c r="A34" s="29">
        <f t="shared" si="0"/>
        <v>19</v>
      </c>
      <c r="B34" s="29">
        <f t="shared" si="1"/>
        <v>51</v>
      </c>
      <c r="C34" s="30">
        <f t="shared" si="2"/>
        <v>74</v>
      </c>
      <c r="D34" s="31">
        <f>VLOOKUP(C34,'Bala Table'!$A:$B,2,FALSE)</f>
        <v>0.75800000000000001</v>
      </c>
      <c r="E34" s="21">
        <f>E33*(1+Assumptions!$D$34)</f>
        <v>5038810.4973479919</v>
      </c>
      <c r="F34" s="21">
        <f t="shared" si="3"/>
        <v>3819418.3569897781</v>
      </c>
      <c r="G34" s="21">
        <f>IF(A34&lt;=Assumptions!$C$26,PV('Scenario Tables'!D$27/12,(Assumptions!$C$26-A34)*12,-$C$11),0)</f>
        <v>798445.9265235099</v>
      </c>
      <c r="H34" s="21">
        <f t="shared" si="4"/>
        <v>3020972.4304662682</v>
      </c>
      <c r="I34" s="21">
        <f>IF(A34&lt;=Assumptions!$C$26,G33*'Scenario Tables'!D$27,0)</f>
        <v>14437.782456161398</v>
      </c>
      <c r="J34" s="21">
        <f>IF(A34&lt;=Assumptions!$C$26,$C$12-I34,0)</f>
        <v>65073.862518390699</v>
      </c>
      <c r="K34" s="21">
        <f>IF(Assumptions!$C$39="Investment",Assumptions!$D$35*12*(1+Assumptions!$D$36)^(A34-1)*(1-Assumptions!$C$40),Assumptions!$D$35*12*(1+Assumptions!$D$36)^(A34-1))</f>
        <v>89122.565848759419</v>
      </c>
      <c r="L34" s="21">
        <f>IF(Assumptions!$C$39="Investment",_xlfn.LET(_xlpm.gr,Assumptions!$D$35*12*(1+Assumptions!$D$36)^(A34-1),Assumptions!$D$37*(1+Assumptions!$D$36)^(A34-1)+MIN(_xlpm.gr,30000)*0.12+MAX(0,MIN(_xlpm.gr,45000)-30000)*0.2+MAX(0,MIN(_xlpm.gr,60000)-45000)*0.28+MAX(0,_xlpm.gr-60000)*0.36+K34*Assumptions!$C$41),Assumptions!$D$37*(1+Assumptions!$D$36)^(A34-1)+MAX(0,MIN(K34,25000)-12000)*0.04+MAX(0,MIN(K34,38000)-25000)*0.06+MAX(0,MIN(K34,50000)-38000)*0.08+MAX(0,MIN(K34,65000)-50000)*0.1+MAX(0,MIN(K34,80000)-65000)*0.12+MAX(0,MIN(K34,95000)-80000)*0.14+MAX(0,MIN(K34,110000)-95000)*0.16+MAX(0,K34-110000)*0.23)</f>
        <v>15406.636704283956</v>
      </c>
      <c r="M34" s="21">
        <f>IF(Assumptions!$C$39="Investment",(K34-I34-L34)*(1-Assumptions!$C$42),K34-I34-L34)</f>
        <v>59278.146688314067</v>
      </c>
      <c r="N34" s="21">
        <f t="shared" si="5"/>
        <v>750885.43836671615</v>
      </c>
      <c r="O34" s="31">
        <f t="shared" si="6"/>
        <v>2.9582972097304352</v>
      </c>
      <c r="P34" s="21">
        <f>Assumptions!$C$8*(1+Assumptions!$C$9)^A34-Assumptions!$C$8+$C$7*((1+Assumptions!$C$9)^A34-1)</f>
        <v>179595.05569474999</v>
      </c>
      <c r="Q34" s="21">
        <f t="shared" si="7"/>
        <v>2841377.3747715182</v>
      </c>
      <c r="R34" s="21">
        <f>N34/(1+Assumptions!$C$43)^A34</f>
        <v>469699.65356229752</v>
      </c>
      <c r="S34">
        <f>((H34/$C$10)^(1/A34))/(1+Assumptions!$C$43)-1</f>
        <v>4.8875509702433151E-2</v>
      </c>
    </row>
    <row r="35" spans="1:19" x14ac:dyDescent="0.2">
      <c r="A35" s="29">
        <f t="shared" si="0"/>
        <v>20</v>
      </c>
      <c r="B35" s="29">
        <f t="shared" si="1"/>
        <v>52</v>
      </c>
      <c r="C35" s="30">
        <f t="shared" si="2"/>
        <v>73</v>
      </c>
      <c r="D35" s="31">
        <f>VLOOKUP(C35,'Bala Table'!$A:$B,2,FALSE)</f>
        <v>0.752</v>
      </c>
      <c r="E35" s="21">
        <f>E34*(1+Assumptions!$D$34)</f>
        <v>5189974.8122684322</v>
      </c>
      <c r="F35" s="21">
        <f t="shared" si="3"/>
        <v>3902861.0588258612</v>
      </c>
      <c r="G35" s="21">
        <f>IF(A35&lt;=Assumptions!$C$26,PV('Scenario Tables'!D$27/12,(Assumptions!$C$26-A35)*12,-$C$11),0)</f>
        <v>731767.17677927774</v>
      </c>
      <c r="H35" s="21">
        <f t="shared" si="4"/>
        <v>3171093.8820465836</v>
      </c>
      <c r="I35" s="21">
        <f>IF(A35&lt;=Assumptions!$C$26,G34*'Scenario Tables'!D$27,0)</f>
        <v>13342.03143220785</v>
      </c>
      <c r="J35" s="21">
        <f>IF(A35&lt;=Assumptions!$C$26,$C$12-I35,0)</f>
        <v>66169.613542344247</v>
      </c>
      <c r="K35" s="21">
        <f>IF(Assumptions!$C$39="Investment",Assumptions!$D$35*12*(1+Assumptions!$D$36)^(A35-1)*(1-Assumptions!$C$40),Assumptions!$D$35*12*(1+Assumptions!$D$36)^(A35-1))</f>
        <v>90905.017165734607</v>
      </c>
      <c r="L35" s="21">
        <f>IF(Assumptions!$C$39="Investment",_xlfn.LET(_xlpm.gr,Assumptions!$D$35*12*(1+Assumptions!$D$36)^(A35-1),Assumptions!$D$37*(1+Assumptions!$D$36)^(A35-1)+MIN(_xlpm.gr,30000)*0.12+MAX(0,MIN(_xlpm.gr,45000)-30000)*0.2+MAX(0,MIN(_xlpm.gr,60000)-45000)*0.28+MAX(0,_xlpm.gr-60000)*0.36+K35*Assumptions!$C$41),Assumptions!$D$37*(1+Assumptions!$D$36)^(A35-1)+MAX(0,MIN(K35,25000)-12000)*0.04+MAX(0,MIN(K35,38000)-25000)*0.06+MAX(0,MIN(K35,50000)-38000)*0.08+MAX(0,MIN(K35,65000)-50000)*0.1+MAX(0,MIN(K35,80000)-65000)*0.12+MAX(0,MIN(K35,95000)-80000)*0.14+MAX(0,MIN(K35,110000)-95000)*0.16+MAX(0,K35-110000)*0.23)</f>
        <v>15827.569438369634</v>
      </c>
      <c r="M35" s="21">
        <f>IF(Assumptions!$C$39="Investment",(K35-I35-L35)*(1-Assumptions!$C$42),K35-I35-L35)</f>
        <v>61735.416295157127</v>
      </c>
      <c r="N35" s="21">
        <f t="shared" si="5"/>
        <v>812620.85466187331</v>
      </c>
      <c r="O35" s="31">
        <f t="shared" si="6"/>
        <v>3.1549972249038043</v>
      </c>
      <c r="P35" s="21">
        <f>Assumptions!$C$8*(1+Assumptions!$C$9)^A35-Assumptions!$C$8+$C$7*((1+Assumptions!$C$9)^A35-1)</f>
        <v>191584.93208711868</v>
      </c>
      <c r="Q35" s="21">
        <f t="shared" si="7"/>
        <v>2979508.9499594648</v>
      </c>
      <c r="R35" s="21">
        <f>N35/(1+Assumptions!$C$43)^A35</f>
        <v>495918.89516124997</v>
      </c>
      <c r="S35">
        <f>((H35/$C$10)^(1/A35))/(1+Assumptions!$C$43)-1</f>
        <v>4.7622148361711858E-2</v>
      </c>
    </row>
    <row r="37" spans="1:19" x14ac:dyDescent="0.2">
      <c r="A37" s="23" t="s">
        <v>81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9" x14ac:dyDescent="0.2">
      <c r="A38" s="13" t="s">
        <v>82</v>
      </c>
      <c r="E38" s="22">
        <f>H35</f>
        <v>3171093.8820465836</v>
      </c>
      <c r="G38" s="13" t="s">
        <v>83</v>
      </c>
      <c r="I38" s="22">
        <f>G35</f>
        <v>731767.17677927774</v>
      </c>
    </row>
    <row r="39" spans="1:19" x14ac:dyDescent="0.2">
      <c r="A39" s="13" t="s">
        <v>84</v>
      </c>
      <c r="E39" s="25">
        <f>Q35</f>
        <v>2979508.9499594648</v>
      </c>
      <c r="G39" s="13" t="s">
        <v>85</v>
      </c>
      <c r="I39" s="22">
        <f>P35</f>
        <v>191584.93208711868</v>
      </c>
    </row>
    <row r="40" spans="1:19" x14ac:dyDescent="0.2">
      <c r="A40" s="13" t="s">
        <v>86</v>
      </c>
      <c r="E40" s="32">
        <f>O35</f>
        <v>3.1549972249038043</v>
      </c>
      <c r="G40" s="13" t="s">
        <v>87</v>
      </c>
      <c r="I40" s="33">
        <f>(H35/$C$10)^(1/20)-1</f>
        <v>7.3812702070754632E-2</v>
      </c>
    </row>
    <row r="41" spans="1:19" x14ac:dyDescent="0.2">
      <c r="A41" s="13" t="s">
        <v>88</v>
      </c>
      <c r="E41" s="22">
        <f>N35</f>
        <v>812620.85466187331</v>
      </c>
      <c r="G41" s="13" t="s">
        <v>89</v>
      </c>
      <c r="I41" s="34" cm="1">
        <f t="array" ref="I41">IFERROR(MATCH(TRUE,INDEX(H16:H35&gt;$C$10,0),0),"Never")</f>
        <v>2</v>
      </c>
    </row>
    <row r="42" spans="1:19" x14ac:dyDescent="0.2">
      <c r="A42" s="96" t="s">
        <v>191</v>
      </c>
      <c r="E42" s="87">
        <f>S35</f>
        <v>4.7622148361711858E-2</v>
      </c>
      <c r="G42" s="96" t="s">
        <v>192</v>
      </c>
      <c r="I42" s="72">
        <f>R35</f>
        <v>495918.89516124997</v>
      </c>
    </row>
    <row r="43" spans="1:19" x14ac:dyDescent="0.2">
      <c r="A43" s="96" t="s">
        <v>193</v>
      </c>
      <c r="E43" s="129">
        <f>Assumptions!$C$43</f>
        <v>2.5000000000000001E-2</v>
      </c>
      <c r="G43" s="13"/>
      <c r="I43" s="3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B158-D188-6F46-B76E-7B5C26B0AF39}">
  <dimension ref="A1:S43"/>
  <sheetViews>
    <sheetView topLeftCell="C1" workbookViewId="0"/>
  </sheetViews>
  <sheetFormatPr baseColWidth="10" defaultRowHeight="16" x14ac:dyDescent="0.2"/>
  <cols>
    <col min="1" max="17" width="16.6640625" customWidth="1"/>
  </cols>
  <sheetData>
    <row r="1" spans="1:19" ht="19" x14ac:dyDescent="0.25">
      <c r="A1" s="35" t="s">
        <v>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spans="1:19" x14ac:dyDescent="0.2">
      <c r="A3" s="23" t="s">
        <v>57</v>
      </c>
      <c r="B3" s="4"/>
      <c r="C3" s="4"/>
    </row>
    <row r="4" spans="1:19" x14ac:dyDescent="0.2">
      <c r="A4" t="s">
        <v>36</v>
      </c>
      <c r="C4" s="21">
        <f>Assumptions!E31</f>
        <v>3900000</v>
      </c>
    </row>
    <row r="5" spans="1:19" x14ac:dyDescent="0.2">
      <c r="A5" t="s">
        <v>58</v>
      </c>
      <c r="C5" s="21">
        <f>Assumptions!C22*Assumptions!E31</f>
        <v>2925000</v>
      </c>
    </row>
    <row r="6" spans="1:19" x14ac:dyDescent="0.2">
      <c r="A6" t="s">
        <v>59</v>
      </c>
      <c r="C6" s="21">
        <f>Assumptions!C23*Assumptions!E31-C7</f>
        <v>825000</v>
      </c>
    </row>
    <row r="7" spans="1:19" x14ac:dyDescent="0.2">
      <c r="A7" t="s">
        <v>60</v>
      </c>
      <c r="C7" s="21">
        <f>MIN(Assumptions!C24*Assumptions!E31,Assumptions!C8)</f>
        <v>150000</v>
      </c>
    </row>
    <row r="8" spans="1:19" x14ac:dyDescent="0.2">
      <c r="A8" t="s">
        <v>61</v>
      </c>
      <c r="C8" s="21">
        <f>Assumptions!E51</f>
        <v>236200</v>
      </c>
    </row>
    <row r="9" spans="1:19" x14ac:dyDescent="0.2">
      <c r="A9" s="14" t="s">
        <v>62</v>
      </c>
      <c r="C9" s="25">
        <f>C6+C8</f>
        <v>1061200</v>
      </c>
    </row>
    <row r="10" spans="1:19" x14ac:dyDescent="0.2">
      <c r="A10" s="14" t="s">
        <v>63</v>
      </c>
      <c r="C10" s="25">
        <f>C6+C7+C8</f>
        <v>1211200</v>
      </c>
    </row>
    <row r="11" spans="1:19" x14ac:dyDescent="0.2">
      <c r="A11" t="s">
        <v>64</v>
      </c>
      <c r="C11" s="36">
        <f>PMT('Scenario Tables'!E$27/12,Assumptions!C26*12,-C5)</f>
        <v>10336.513846691772</v>
      </c>
    </row>
    <row r="12" spans="1:19" x14ac:dyDescent="0.2">
      <c r="A12" t="s">
        <v>65</v>
      </c>
      <c r="C12" s="21">
        <f>C11*12</f>
        <v>124038.16616030128</v>
      </c>
    </row>
    <row r="14" spans="1:19" ht="51" x14ac:dyDescent="0.2">
      <c r="A14" s="26" t="s">
        <v>66</v>
      </c>
      <c r="B14" s="26" t="s">
        <v>67</v>
      </c>
      <c r="C14" s="28" t="s">
        <v>68</v>
      </c>
      <c r="D14" s="28" t="s">
        <v>69</v>
      </c>
      <c r="E14" s="28" t="s">
        <v>70</v>
      </c>
      <c r="F14" s="28" t="s">
        <v>92</v>
      </c>
      <c r="G14" s="28" t="s">
        <v>72</v>
      </c>
      <c r="H14" s="28" t="s">
        <v>73</v>
      </c>
      <c r="I14" s="28" t="s">
        <v>74</v>
      </c>
      <c r="J14" s="28" t="s">
        <v>75</v>
      </c>
      <c r="K14" s="28" t="s">
        <v>184</v>
      </c>
      <c r="L14" s="28" t="s">
        <v>185</v>
      </c>
      <c r="M14" s="28" t="s">
        <v>186</v>
      </c>
      <c r="N14" s="28" t="s">
        <v>76</v>
      </c>
      <c r="O14" s="28" t="s">
        <v>77</v>
      </c>
      <c r="P14" s="28" t="s">
        <v>78</v>
      </c>
      <c r="Q14" s="28" t="s">
        <v>79</v>
      </c>
      <c r="R14" s="73" t="s">
        <v>189</v>
      </c>
      <c r="S14" s="73" t="s">
        <v>190</v>
      </c>
    </row>
    <row r="15" spans="1:19" x14ac:dyDescent="0.2">
      <c r="A15" s="29">
        <v>0</v>
      </c>
      <c r="B15" s="29">
        <f>Assumptions!C4</f>
        <v>32</v>
      </c>
      <c r="C15" s="29" t="s">
        <v>39</v>
      </c>
      <c r="D15" s="31">
        <v>1</v>
      </c>
      <c r="E15" s="21">
        <f>C4</f>
        <v>3900000</v>
      </c>
      <c r="F15" s="21">
        <f>E15*D15</f>
        <v>3900000</v>
      </c>
      <c r="G15" s="21">
        <f>C5</f>
        <v>2925000</v>
      </c>
      <c r="H15" s="21">
        <f>F15-G15</f>
        <v>975000</v>
      </c>
      <c r="I15" s="29" t="s">
        <v>80</v>
      </c>
      <c r="J15" s="29" t="s">
        <v>80</v>
      </c>
      <c r="K15" s="29" t="s">
        <v>80</v>
      </c>
      <c r="L15" s="29" t="s">
        <v>80</v>
      </c>
      <c r="M15" s="29" t="s">
        <v>80</v>
      </c>
      <c r="N15" s="29" t="s">
        <v>80</v>
      </c>
      <c r="O15" s="29" t="s">
        <v>80</v>
      </c>
      <c r="P15" s="21">
        <v>0</v>
      </c>
      <c r="Q15" s="21">
        <f>H15-P15</f>
        <v>975000</v>
      </c>
      <c r="R15" s="124" t="s">
        <v>80</v>
      </c>
      <c r="S15" s="124" t="s">
        <v>80</v>
      </c>
    </row>
    <row r="16" spans="1:19" x14ac:dyDescent="0.2">
      <c r="A16" s="29">
        <f>A15+1</f>
        <v>1</v>
      </c>
      <c r="B16" s="29">
        <f>B15+1</f>
        <v>33</v>
      </c>
      <c r="C16" s="29" t="s">
        <v>39</v>
      </c>
      <c r="D16" s="31">
        <v>1</v>
      </c>
      <c r="E16" s="21">
        <f>E15*(1+Assumptions!$E$34)</f>
        <v>4056000</v>
      </c>
      <c r="F16" s="21">
        <f>E16*D16</f>
        <v>4056000</v>
      </c>
      <c r="G16" s="21">
        <f>IF(A16&lt;=Assumptions!$C$26,PV('Scenario Tables'!E$27/12,(Assumptions!$C$26-A16)*12,-$C$11),0)</f>
        <v>2849260.2610127367</v>
      </c>
      <c r="H16" s="21">
        <f>F16-G16</f>
        <v>1206739.7389872633</v>
      </c>
      <c r="I16" s="21">
        <f>IF(A16&lt;=Assumptions!$C$26,G15*'Scenario Tables'!E$27,0)</f>
        <v>48876.75</v>
      </c>
      <c r="J16" s="21">
        <f>IF(A16&lt;=Assumptions!$C$26,$C$12-I16,0)</f>
        <v>75161.416160301276</v>
      </c>
      <c r="K16" s="21">
        <f>IF(Assumptions!$C$39="Investment",Assumptions!$E$35*12*(1+Assumptions!$E$36)^(A16-1)*(1-Assumptions!$C$40),Assumptions!$E$35*12*(1+Assumptions!$E$36)^(A16-1))</f>
        <v>98400</v>
      </c>
      <c r="L16" s="21">
        <f>IF(Assumptions!$C$39="Investment",_xlfn.LET(_xlpm.gr,Assumptions!$E$35*12*(1+Assumptions!$E$36)^(A16-1),Assumptions!$E$37*(1+Assumptions!$E$36)^(A16-1)+MIN(_xlpm.gr,30000)*0.12+MAX(0,MIN(_xlpm.gr,45000)-30000)*0.2+MAX(0,MIN(_xlpm.gr,60000)-45000)*0.28+MAX(0,_xlpm.gr-60000)*0.36+K16*Assumptions!$C$41),Assumptions!$E$37*(1+Assumptions!$E$36)^(A16-1)+MAX(0,MIN(K16,25000)-12000)*0.04+MAX(0,MIN(K16,38000)-25000)*0.06+MAX(0,MIN(K16,50000)-38000)*0.08+MAX(0,MIN(K16,65000)-50000)*0.1+MAX(0,MIN(K16,80000)-65000)*0.12+MAX(0,MIN(K16,95000)-80000)*0.14+MAX(0,MIN(K16,110000)-95000)*0.16+MAX(0,K16-110000)*0.23)</f>
        <v>16604</v>
      </c>
      <c r="M16" s="21">
        <f>IF(Assumptions!$C$39="Investment",(K16-I16-L16)*(1-Assumptions!$C$42),K16-I16-L16)</f>
        <v>32919.25</v>
      </c>
      <c r="N16" s="21">
        <f>IF(A16=1,M16,N15+M16)</f>
        <v>32919.25</v>
      </c>
      <c r="O16" s="31">
        <f>(H16-$C$10)/$C$10</f>
        <v>-3.6825140461828831E-3</v>
      </c>
      <c r="P16" s="21">
        <f>Assumptions!$C$8*(1+Assumptions!$C$9)^A16-Assumptions!$C$8+$C$7*((1+Assumptions!$C$9)^A16-1)</f>
        <v>7499.9999999999873</v>
      </c>
      <c r="Q16" s="21">
        <f>H16-P16</f>
        <v>1199239.7389872633</v>
      </c>
      <c r="R16" s="21">
        <f>N16/(1+Assumptions!$C$43)^A16</f>
        <v>32116.341463414636</v>
      </c>
      <c r="S16">
        <f>((H16/$C$10)^(1/A16))/(1+Assumptions!$C$43)-1</f>
        <v>-2.7982940532861322E-2</v>
      </c>
    </row>
    <row r="17" spans="1:19" x14ac:dyDescent="0.2">
      <c r="A17" s="29">
        <f t="shared" ref="A17:A35" si="0">A16+1</f>
        <v>2</v>
      </c>
      <c r="B17" s="29">
        <f t="shared" ref="B17:B35" si="1">B16+1</f>
        <v>34</v>
      </c>
      <c r="C17" s="29" t="s">
        <v>39</v>
      </c>
      <c r="D17" s="31">
        <v>1</v>
      </c>
      <c r="E17" s="21">
        <f>E16*(1+Assumptions!$E$34)</f>
        <v>4218240</v>
      </c>
      <c r="F17" s="21">
        <f t="shared" ref="F17:F35" si="2">E17*D17</f>
        <v>4218240</v>
      </c>
      <c r="G17" s="21">
        <f>IF(A17&lt;=Assumptions!$C$26,PV('Scenario Tables'!E$27/12,(Assumptions!$C$26-A17)*12,-$C$11),0)</f>
        <v>2772245.172855665</v>
      </c>
      <c r="H17" s="21">
        <f t="shared" ref="H17:H35" si="3">F17-G17</f>
        <v>1445994.827144335</v>
      </c>
      <c r="I17" s="21">
        <f>IF(A17&lt;=Assumptions!$C$26,G16*'Scenario Tables'!E$27,0)</f>
        <v>47611.138961522825</v>
      </c>
      <c r="J17" s="21">
        <f>IF(A17&lt;=Assumptions!$C$26,$C$12-I17,0)</f>
        <v>76427.027198778451</v>
      </c>
      <c r="K17" s="21">
        <f>IF(Assumptions!$C$39="Investment",Assumptions!$E$35*12*(1+Assumptions!$E$36)^(A17-1)*(1-Assumptions!$C$40),Assumptions!$E$35*12*(1+Assumptions!$E$36)^(A17-1))</f>
        <v>100368</v>
      </c>
      <c r="L17" s="21">
        <f>IF(Assumptions!$C$39="Investment",_xlfn.LET(_xlpm.gr,Assumptions!$E$35*12*(1+Assumptions!$E$36)^(A17-1),Assumptions!$E$37*(1+Assumptions!$E$36)^(A17-1)+MIN(_xlpm.gr,30000)*0.12+MAX(0,MIN(_xlpm.gr,45000)-30000)*0.2+MAX(0,MIN(_xlpm.gr,60000)-45000)*0.28+MAX(0,_xlpm.gr-60000)*0.36+K17*Assumptions!$C$41),Assumptions!$E$37*(1+Assumptions!$E$36)^(A17-1)+MAX(0,MIN(K17,25000)-12000)*0.04+MAX(0,MIN(K17,38000)-25000)*0.06+MAX(0,MIN(K17,50000)-38000)*0.08+MAX(0,MIN(K17,65000)-50000)*0.1+MAX(0,MIN(K17,80000)-65000)*0.12+MAX(0,MIN(K17,95000)-80000)*0.14+MAX(0,MIN(K17,110000)-95000)*0.16+MAX(0,K17-110000)*0.23)</f>
        <v>17086.88</v>
      </c>
      <c r="M17" s="21">
        <f>IF(Assumptions!$C$39="Investment",(K17-I17-L17)*(1-Assumptions!$C$42),K17-I17-L17)</f>
        <v>35669.98103847717</v>
      </c>
      <c r="N17" s="21">
        <f t="shared" ref="N17:N35" si="4">IF(A17=1,M17,N16+M17)</f>
        <v>68589.23103847717</v>
      </c>
      <c r="O17" s="31">
        <f t="shared" ref="O17:O35" si="5">(H17-$C$10)/$C$10</f>
        <v>0.19385306072022376</v>
      </c>
      <c r="P17" s="21">
        <f>Assumptions!$C$8*(1+Assumptions!$C$9)^A17-Assumptions!$C$8+$C$7*((1+Assumptions!$C$9)^A17-1)</f>
        <v>15187.499999999989</v>
      </c>
      <c r="Q17" s="21">
        <f t="shared" ref="Q17:Q35" si="6">H17-P17</f>
        <v>1430807.327144335</v>
      </c>
      <c r="R17" s="21">
        <f>N17/(1+Assumptions!$C$43)^A17</f>
        <v>65284.217526212662</v>
      </c>
      <c r="S17">
        <f>((H17/$C$10)^(1/A17))/(1+Assumptions!$C$43)-1</f>
        <v>6.598617727073619E-2</v>
      </c>
    </row>
    <row r="18" spans="1:19" x14ac:dyDescent="0.2">
      <c r="A18" s="29">
        <f t="shared" si="0"/>
        <v>3</v>
      </c>
      <c r="B18" s="29">
        <f t="shared" si="1"/>
        <v>35</v>
      </c>
      <c r="C18" s="29" t="s">
        <v>39</v>
      </c>
      <c r="D18" s="31">
        <v>1</v>
      </c>
      <c r="E18" s="21">
        <f>E17*(1+Assumptions!$E$34)</f>
        <v>4386969.6000000006</v>
      </c>
      <c r="F18" s="21">
        <f t="shared" si="2"/>
        <v>4386969.6000000006</v>
      </c>
      <c r="G18" s="21">
        <f>IF(A18&lt;=Assumptions!$C$26,PV('Scenario Tables'!E$27/12,(Assumptions!$C$26-A18)*12,-$C$11),0)</f>
        <v>2693933.2604677589</v>
      </c>
      <c r="H18" s="21">
        <f t="shared" si="3"/>
        <v>1693036.3395322417</v>
      </c>
      <c r="I18" s="21">
        <f>IF(A18&lt;=Assumptions!$C$26,G17*'Scenario Tables'!E$27,0)</f>
        <v>46324.216838418157</v>
      </c>
      <c r="J18" s="21">
        <f>IF(A18&lt;=Assumptions!$C$26,$C$12-I18,0)</f>
        <v>77713.949321883119</v>
      </c>
      <c r="K18" s="21">
        <f>IF(Assumptions!$C$39="Investment",Assumptions!$E$35*12*(1+Assumptions!$E$36)^(A18-1)*(1-Assumptions!$C$40),Assumptions!$E$35*12*(1+Assumptions!$E$36)^(A18-1))</f>
        <v>102375.36</v>
      </c>
      <c r="L18" s="21">
        <f>IF(Assumptions!$C$39="Investment",_xlfn.LET(_xlpm.gr,Assumptions!$E$35*12*(1+Assumptions!$E$36)^(A18-1),Assumptions!$E$37*(1+Assumptions!$E$36)^(A18-1)+MIN(_xlpm.gr,30000)*0.12+MAX(0,MIN(_xlpm.gr,45000)-30000)*0.2+MAX(0,MIN(_xlpm.gr,60000)-45000)*0.28+MAX(0,_xlpm.gr-60000)*0.36+K18*Assumptions!$C$41),Assumptions!$E$37*(1+Assumptions!$E$36)^(A18-1)+MAX(0,MIN(K18,25000)-12000)*0.04+MAX(0,MIN(K18,38000)-25000)*0.06+MAX(0,MIN(K18,50000)-38000)*0.08+MAX(0,MIN(K18,65000)-50000)*0.1+MAX(0,MIN(K18,80000)-65000)*0.12+MAX(0,MIN(K18,95000)-80000)*0.14+MAX(0,MIN(K18,110000)-95000)*0.16+MAX(0,K18-110000)*0.23)</f>
        <v>17579.417600000001</v>
      </c>
      <c r="M18" s="21">
        <f>IF(Assumptions!$C$39="Investment",(K18-I18-L18)*(1-Assumptions!$C$42),K18-I18-L18)</f>
        <v>38471.725561581843</v>
      </c>
      <c r="N18" s="21">
        <f t="shared" si="4"/>
        <v>107060.95660005901</v>
      </c>
      <c r="O18" s="31">
        <f t="shared" si="5"/>
        <v>0.39781732127827091</v>
      </c>
      <c r="P18" s="21">
        <f>Assumptions!$C$8*(1+Assumptions!$C$9)^A18-Assumptions!$C$8+$C$7*((1+Assumptions!$C$9)^A18-1)</f>
        <v>23067.187499999953</v>
      </c>
      <c r="Q18" s="21">
        <f t="shared" si="6"/>
        <v>1669969.1520322417</v>
      </c>
      <c r="R18" s="21">
        <f>N18/(1+Assumptions!$C$43)^A18</f>
        <v>99416.741231319596</v>
      </c>
      <c r="S18">
        <f>((H18/$C$10)^(1/A18))/(1+Assumptions!$C$43)-1</f>
        <v>9.0836364263793268E-2</v>
      </c>
    </row>
    <row r="19" spans="1:19" x14ac:dyDescent="0.2">
      <c r="A19" s="29">
        <f t="shared" si="0"/>
        <v>4</v>
      </c>
      <c r="B19" s="29">
        <f t="shared" si="1"/>
        <v>36</v>
      </c>
      <c r="C19" s="29" t="s">
        <v>39</v>
      </c>
      <c r="D19" s="31">
        <v>1</v>
      </c>
      <c r="E19" s="21">
        <f>E18*(1+Assumptions!$E$34)</f>
        <v>4562448.3840000005</v>
      </c>
      <c r="F19" s="21">
        <f t="shared" si="2"/>
        <v>4562448.3840000005</v>
      </c>
      <c r="G19" s="21">
        <f>IF(A19&lt;=Assumptions!$C$26,PV('Scenario Tables'!E$27/12,(Assumptions!$C$26-A19)*12,-$C$11),0)</f>
        <v>2614302.6871787473</v>
      </c>
      <c r="H19" s="21">
        <f t="shared" si="3"/>
        <v>1948145.6968212533</v>
      </c>
      <c r="I19" s="21">
        <f>IF(A19&lt;=Assumptions!$C$26,G18*'Scenario Tables'!E$27,0)</f>
        <v>45015.624782416249</v>
      </c>
      <c r="J19" s="21">
        <f>IF(A19&lt;=Assumptions!$C$26,$C$12-I19,0)</f>
        <v>79022.541377885034</v>
      </c>
      <c r="K19" s="21">
        <f>IF(Assumptions!$C$39="Investment",Assumptions!$E$35*12*(1+Assumptions!$E$36)^(A19-1)*(1-Assumptions!$C$40),Assumptions!$E$35*12*(1+Assumptions!$E$36)^(A19-1))</f>
        <v>104422.86719999999</v>
      </c>
      <c r="L19" s="21">
        <f>IF(Assumptions!$C$39="Investment",_xlfn.LET(_xlpm.gr,Assumptions!$E$35*12*(1+Assumptions!$E$36)^(A19-1),Assumptions!$E$37*(1+Assumptions!$E$36)^(A19-1)+MIN(_xlpm.gr,30000)*0.12+MAX(0,MIN(_xlpm.gr,45000)-30000)*0.2+MAX(0,MIN(_xlpm.gr,60000)-45000)*0.28+MAX(0,_xlpm.gr-60000)*0.36+K19*Assumptions!$C$41),Assumptions!$E$37*(1+Assumptions!$E$36)^(A19-1)+MAX(0,MIN(K19,25000)-12000)*0.04+MAX(0,MIN(K19,38000)-25000)*0.06+MAX(0,MIN(K19,50000)-38000)*0.08+MAX(0,MIN(K19,65000)-50000)*0.1+MAX(0,MIN(K19,80000)-65000)*0.12+MAX(0,MIN(K19,95000)-80000)*0.14+MAX(0,MIN(K19,110000)-95000)*0.16+MAX(0,K19-110000)*0.23)</f>
        <v>18081.805951999999</v>
      </c>
      <c r="M19" s="21">
        <f>IF(Assumptions!$C$39="Investment",(K19-I19-L19)*(1-Assumptions!$C$42),K19-I19-L19)</f>
        <v>41325.436465583742</v>
      </c>
      <c r="N19" s="21">
        <f t="shared" si="4"/>
        <v>148386.39306564274</v>
      </c>
      <c r="O19" s="31">
        <f t="shared" si="5"/>
        <v>0.60844261626589602</v>
      </c>
      <c r="P19" s="21">
        <f>Assumptions!$C$8*(1+Assumptions!$C$9)^A19-Assumptions!$C$8+$C$7*((1+Assumptions!$C$9)^A19-1)</f>
        <v>31143.867187499935</v>
      </c>
      <c r="Q19" s="21">
        <f t="shared" si="6"/>
        <v>1917001.8296337533</v>
      </c>
      <c r="R19" s="21">
        <f>N19/(1+Assumptions!$C$43)^A19</f>
        <v>134430.74847732895</v>
      </c>
      <c r="S19">
        <f>((H19/$C$10)^(1/A19))/(1+Assumptions!$C$43)-1</f>
        <v>9.8695959673195333E-2</v>
      </c>
    </row>
    <row r="20" spans="1:19" x14ac:dyDescent="0.2">
      <c r="A20" s="29">
        <f t="shared" si="0"/>
        <v>5</v>
      </c>
      <c r="B20" s="29">
        <f t="shared" si="1"/>
        <v>37</v>
      </c>
      <c r="C20" s="29" t="s">
        <v>39</v>
      </c>
      <c r="D20" s="31">
        <v>1</v>
      </c>
      <c r="E20" s="21">
        <f>E19*(1+Assumptions!$E$34)</f>
        <v>4744946.319360001</v>
      </c>
      <c r="F20" s="21">
        <f t="shared" si="2"/>
        <v>4744946.319360001</v>
      </c>
      <c r="G20" s="21">
        <f>IF(A20&lt;=Assumptions!$C$26,PV('Scenario Tables'!E$27/12,(Assumptions!$C$26-A20)*12,-$C$11),0)</f>
        <v>2533331.2486199848</v>
      </c>
      <c r="H20" s="21">
        <f t="shared" si="3"/>
        <v>2211615.0707400162</v>
      </c>
      <c r="I20" s="21">
        <f>IF(A20&lt;=Assumptions!$C$26,G19*'Scenario Tables'!E$27,0)</f>
        <v>43684.997902756862</v>
      </c>
      <c r="J20" s="21">
        <f>IF(A20&lt;=Assumptions!$C$26,$C$12-I20,0)</f>
        <v>80353.168257544414</v>
      </c>
      <c r="K20" s="21">
        <f>IF(Assumptions!$C$39="Investment",Assumptions!$E$35*12*(1+Assumptions!$E$36)^(A20-1)*(1-Assumptions!$C$40),Assumptions!$E$35*12*(1+Assumptions!$E$36)^(A20-1))</f>
        <v>106511.324544</v>
      </c>
      <c r="L20" s="21">
        <f>IF(Assumptions!$C$39="Investment",_xlfn.LET(_xlpm.gr,Assumptions!$E$35*12*(1+Assumptions!$E$36)^(A20-1),Assumptions!$E$37*(1+Assumptions!$E$36)^(A20-1)+MIN(_xlpm.gr,30000)*0.12+MAX(0,MIN(_xlpm.gr,45000)-30000)*0.2+MAX(0,MIN(_xlpm.gr,60000)-45000)*0.28+MAX(0,_xlpm.gr-60000)*0.36+K20*Assumptions!$C$41),Assumptions!$E$37*(1+Assumptions!$E$36)^(A20-1)+MAX(0,MIN(K20,25000)-12000)*0.04+MAX(0,MIN(K20,38000)-25000)*0.06+MAX(0,MIN(K20,50000)-38000)*0.08+MAX(0,MIN(K20,65000)-50000)*0.1+MAX(0,MIN(K20,80000)-65000)*0.12+MAX(0,MIN(K20,95000)-80000)*0.14+MAX(0,MIN(K20,110000)-95000)*0.16+MAX(0,K20-110000)*0.23)</f>
        <v>18594.24207104</v>
      </c>
      <c r="M20" s="21">
        <f>IF(Assumptions!$C$39="Investment",(K20-I20-L20)*(1-Assumptions!$C$42),K20-I20-L20)</f>
        <v>44232.084570203137</v>
      </c>
      <c r="N20" s="21">
        <f t="shared" si="4"/>
        <v>192618.47763584589</v>
      </c>
      <c r="O20" s="31">
        <f t="shared" si="5"/>
        <v>0.82597017069023793</v>
      </c>
      <c r="P20" s="21">
        <f>Assumptions!$C$8*(1+Assumptions!$C$9)^A20-Assumptions!$C$8+$C$7*((1+Assumptions!$C$9)^A20-1)</f>
        <v>39422.463867187391</v>
      </c>
      <c r="Q20" s="21">
        <f t="shared" si="6"/>
        <v>2172192.6068728287</v>
      </c>
      <c r="R20" s="21">
        <f>N20/(1+Assumptions!$C$43)^A20</f>
        <v>170246.66733126028</v>
      </c>
      <c r="S20">
        <f>((H20/$C$10)^(1/A20))/(1+Assumptions!$C$43)-1</f>
        <v>0.10046154332296142</v>
      </c>
    </row>
    <row r="21" spans="1:19" x14ac:dyDescent="0.2">
      <c r="A21" s="29">
        <f t="shared" si="0"/>
        <v>6</v>
      </c>
      <c r="B21" s="29">
        <f t="shared" si="1"/>
        <v>38</v>
      </c>
      <c r="C21" s="29" t="s">
        <v>39</v>
      </c>
      <c r="D21" s="31">
        <v>1</v>
      </c>
      <c r="E21" s="21">
        <f>E20*(1+Assumptions!$E$34)</f>
        <v>4934744.1721344013</v>
      </c>
      <c r="F21" s="21">
        <f t="shared" si="2"/>
        <v>4934744.1721344013</v>
      </c>
      <c r="G21" s="21">
        <f>IF(A21&lt;=Assumptions!$C$26,PV('Scenario Tables'!E$27/12,(Assumptions!$C$26-A21)*12,-$C$11),0)</f>
        <v>2450996.3665329288</v>
      </c>
      <c r="H21" s="21">
        <f t="shared" si="3"/>
        <v>2483747.8056014725</v>
      </c>
      <c r="I21" s="21">
        <f>IF(A21&lt;=Assumptions!$C$26,G20*'Scenario Tables'!E$27,0)</f>
        <v>42331.965164439942</v>
      </c>
      <c r="J21" s="21">
        <f>IF(A21&lt;=Assumptions!$C$26,$C$12-I21,0)</f>
        <v>81706.200995861334</v>
      </c>
      <c r="K21" s="21">
        <f>IF(Assumptions!$C$39="Investment",Assumptions!$E$35*12*(1+Assumptions!$E$36)^(A21-1)*(1-Assumptions!$C$40),Assumptions!$E$35*12*(1+Assumptions!$E$36)^(A21-1))</f>
        <v>108641.55103488</v>
      </c>
      <c r="L21" s="21">
        <f>IF(Assumptions!$C$39="Investment",_xlfn.LET(_xlpm.gr,Assumptions!$E$35*12*(1+Assumptions!$E$36)^(A21-1),Assumptions!$E$37*(1+Assumptions!$E$36)^(A21-1)+MIN(_xlpm.gr,30000)*0.12+MAX(0,MIN(_xlpm.gr,45000)-30000)*0.2+MAX(0,MIN(_xlpm.gr,60000)-45000)*0.28+MAX(0,_xlpm.gr-60000)*0.36+K21*Assumptions!$C$41),Assumptions!$E$37*(1+Assumptions!$E$36)^(A21-1)+MAX(0,MIN(K21,25000)-12000)*0.04+MAX(0,MIN(K21,38000)-25000)*0.06+MAX(0,MIN(K21,50000)-38000)*0.08+MAX(0,MIN(K21,65000)-50000)*0.1+MAX(0,MIN(K21,80000)-65000)*0.12+MAX(0,MIN(K21,95000)-80000)*0.14+MAX(0,MIN(K21,110000)-95000)*0.16+MAX(0,K21-110000)*0.23)</f>
        <v>19116.926912460804</v>
      </c>
      <c r="M21" s="21">
        <f>IF(Assumptions!$C$39="Investment",(K21-I21-L21)*(1-Assumptions!$C$42),K21-I21-L21)</f>
        <v>47192.658957979256</v>
      </c>
      <c r="N21" s="21">
        <f t="shared" si="4"/>
        <v>239811.13659382515</v>
      </c>
      <c r="O21" s="31">
        <f t="shared" si="5"/>
        <v>1.0506504339510176</v>
      </c>
      <c r="P21" s="21">
        <f>Assumptions!$C$8*(1+Assumptions!$C$9)^A21-Assumptions!$C$8+$C$7*((1+Assumptions!$C$9)^A21-1)</f>
        <v>47908.025463867059</v>
      </c>
      <c r="Q21" s="21">
        <f t="shared" si="6"/>
        <v>2435839.7801376055</v>
      </c>
      <c r="R21" s="21">
        <f>N21/(1+Assumptions!$C$43)^A21</f>
        <v>206788.39150728192</v>
      </c>
      <c r="S21">
        <f>((H21/$C$10)^(1/A21))/(1+Assumptions!$C$43)-1</f>
        <v>9.965910294122704E-2</v>
      </c>
    </row>
    <row r="22" spans="1:19" x14ac:dyDescent="0.2">
      <c r="A22" s="29">
        <f t="shared" si="0"/>
        <v>7</v>
      </c>
      <c r="B22" s="29">
        <f t="shared" si="1"/>
        <v>39</v>
      </c>
      <c r="C22" s="29" t="s">
        <v>39</v>
      </c>
      <c r="D22" s="31">
        <v>1</v>
      </c>
      <c r="E22" s="21">
        <f>E21*(1+Assumptions!$E$34)</f>
        <v>5132133.9390197778</v>
      </c>
      <c r="F22" s="21">
        <f t="shared" si="2"/>
        <v>5132133.9390197778</v>
      </c>
      <c r="G22" s="21">
        <f>IF(A22&lt;=Assumptions!$C$26,PV('Scenario Tables'!E$27/12,(Assumptions!$C$26-A22)*12,-$C$11),0)</f>
        <v>2367275.0824733702</v>
      </c>
      <c r="H22" s="21">
        <f t="shared" si="3"/>
        <v>2764858.8565464076</v>
      </c>
      <c r="I22" s="21">
        <f>IF(A22&lt;=Assumptions!$C$26,G21*'Scenario Tables'!E$27,0)</f>
        <v>40956.149284765241</v>
      </c>
      <c r="J22" s="21">
        <f>IF(A22&lt;=Assumptions!$C$26,$C$12-I22,0)</f>
        <v>83082.016875536036</v>
      </c>
      <c r="K22" s="21">
        <f>IF(Assumptions!$C$39="Investment",Assumptions!$E$35*12*(1+Assumptions!$E$36)^(A22-1)*(1-Assumptions!$C$40),Assumptions!$E$35*12*(1+Assumptions!$E$36)^(A22-1))</f>
        <v>110814.3820555776</v>
      </c>
      <c r="L22" s="21">
        <f>IF(Assumptions!$C$39="Investment",_xlfn.LET(_xlpm.gr,Assumptions!$E$35*12*(1+Assumptions!$E$36)^(A22-1),Assumptions!$E$37*(1+Assumptions!$E$36)^(A22-1)+MIN(_xlpm.gr,30000)*0.12+MAX(0,MIN(_xlpm.gr,45000)-30000)*0.2+MAX(0,MIN(_xlpm.gr,60000)-45000)*0.28+MAX(0,_xlpm.gr-60000)*0.36+K22*Assumptions!$C$41),Assumptions!$E$37*(1+Assumptions!$E$36)^(A22-1)+MAX(0,MIN(K22,25000)-12000)*0.04+MAX(0,MIN(K22,38000)-25000)*0.06+MAX(0,MIN(K22,50000)-38000)*0.08+MAX(0,MIN(K22,65000)-50000)*0.1+MAX(0,MIN(K22,80000)-65000)*0.12+MAX(0,MIN(K22,95000)-80000)*0.14+MAX(0,MIN(K22,110000)-95000)*0.16+MAX(0,K22-110000)*0.23)</f>
        <v>19707.072194600452</v>
      </c>
      <c r="M22" s="21">
        <f>IF(Assumptions!$C$39="Investment",(K22-I22-L22)*(1-Assumptions!$C$42),K22-I22-L22)</f>
        <v>50151.160576211914</v>
      </c>
      <c r="N22" s="21">
        <f t="shared" si="4"/>
        <v>289962.29717003705</v>
      </c>
      <c r="O22" s="31">
        <f t="shared" si="5"/>
        <v>1.2827434416664527</v>
      </c>
      <c r="P22" s="21">
        <f>Assumptions!$C$8*(1+Assumptions!$C$9)^A22-Assumptions!$C$8+$C$7*((1+Assumptions!$C$9)^A22-1)</f>
        <v>56605.726100463755</v>
      </c>
      <c r="Q22" s="21">
        <f t="shared" si="6"/>
        <v>2708253.1304459437</v>
      </c>
      <c r="R22" s="21">
        <f>N22/(1+Assumptions!$C$43)^A22</f>
        <v>243935.20009407945</v>
      </c>
      <c r="S22">
        <f>((H22/$C$10)^(1/A22))/(1+Assumptions!$C$43)-1</f>
        <v>9.7701587495327535E-2</v>
      </c>
    </row>
    <row r="23" spans="1:19" x14ac:dyDescent="0.2">
      <c r="A23" s="29">
        <f t="shared" si="0"/>
        <v>8</v>
      </c>
      <c r="B23" s="29">
        <f t="shared" si="1"/>
        <v>40</v>
      </c>
      <c r="C23" s="29" t="s">
        <v>39</v>
      </c>
      <c r="D23" s="31">
        <v>1</v>
      </c>
      <c r="E23" s="21">
        <f>E22*(1+Assumptions!$E$34)</f>
        <v>5337419.2965805689</v>
      </c>
      <c r="F23" s="21">
        <f t="shared" si="2"/>
        <v>5337419.2965805689</v>
      </c>
      <c r="G23" s="21">
        <f>IF(A23&lt;=Assumptions!$C$26,PV('Scenario Tables'!E$27/12,(Assumptions!$C$26-A23)*12,-$C$11),0)</f>
        <v>2282144.0514096413</v>
      </c>
      <c r="H23" s="21">
        <f t="shared" si="3"/>
        <v>3055275.2451709276</v>
      </c>
      <c r="I23" s="21">
        <f>IF(A23&lt;=Assumptions!$C$26,G22*'Scenario Tables'!E$27,0)</f>
        <v>39557.166628130013</v>
      </c>
      <c r="J23" s="21">
        <f>IF(A23&lt;=Assumptions!$C$26,$C$12-I23,0)</f>
        <v>84480.999532171263</v>
      </c>
      <c r="K23" s="21">
        <f>IF(Assumptions!$C$39="Investment",Assumptions!$E$35*12*(1+Assumptions!$E$36)^(A23-1)*(1-Assumptions!$C$40),Assumptions!$E$35*12*(1+Assumptions!$E$36)^(A23-1))</f>
        <v>113030.66969668913</v>
      </c>
      <c r="L23" s="21">
        <f>IF(Assumptions!$C$39="Investment",_xlfn.LET(_xlpm.gr,Assumptions!$E$35*12*(1+Assumptions!$E$36)^(A23-1),Assumptions!$E$37*(1+Assumptions!$E$36)^(A23-1)+MIN(_xlpm.gr,30000)*0.12+MAX(0,MIN(_xlpm.gr,45000)-30000)*0.2+MAX(0,MIN(_xlpm.gr,60000)-45000)*0.28+MAX(0,_xlpm.gr-60000)*0.36+K23*Assumptions!$C$41),Assumptions!$E$37*(1+Assumptions!$E$36)^(A23-1)+MAX(0,MIN(K23,25000)-12000)*0.04+MAX(0,MIN(K23,38000)-25000)*0.06+MAX(0,MIN(K23,50000)-38000)*0.08+MAX(0,MIN(K23,65000)-50000)*0.1+MAX(0,MIN(K23,80000)-65000)*0.12+MAX(0,MIN(K23,95000)-80000)*0.14+MAX(0,MIN(K23,110000)-95000)*0.16+MAX(0,K23-110000)*0.23)</f>
        <v>20406.013638492452</v>
      </c>
      <c r="M23" s="21">
        <f>IF(Assumptions!$C$39="Investment",(K23-I23-L23)*(1-Assumptions!$C$42),K23-I23-L23)</f>
        <v>53067.489430066664</v>
      </c>
      <c r="N23" s="21">
        <f t="shared" si="4"/>
        <v>343029.78660010372</v>
      </c>
      <c r="O23" s="31">
        <f t="shared" si="5"/>
        <v>1.5225191918518226</v>
      </c>
      <c r="P23" s="21">
        <f>Assumptions!$C$8*(1+Assumptions!$C$9)^A23-Assumptions!$C$8+$C$7*((1+Assumptions!$C$9)^A23-1)</f>
        <v>65520.869252975317</v>
      </c>
      <c r="Q23" s="21">
        <f t="shared" si="6"/>
        <v>2989754.3759179525</v>
      </c>
      <c r="R23" s="21">
        <f>N23/(1+Assumptions!$C$43)^A23</f>
        <v>281540.52103878185</v>
      </c>
      <c r="S23">
        <f>((H23/$C$10)^(1/A23))/(1+Assumptions!$C$43)-1</f>
        <v>9.5230285549435134E-2</v>
      </c>
    </row>
    <row r="24" spans="1:19" x14ac:dyDescent="0.2">
      <c r="A24" s="29">
        <f t="shared" si="0"/>
        <v>9</v>
      </c>
      <c r="B24" s="29">
        <f t="shared" si="1"/>
        <v>41</v>
      </c>
      <c r="C24" s="29" t="s">
        <v>39</v>
      </c>
      <c r="D24" s="31">
        <v>1</v>
      </c>
      <c r="E24" s="21">
        <f>E23*(1+Assumptions!$E$34)</f>
        <v>5550916.0684437919</v>
      </c>
      <c r="F24" s="21">
        <f t="shared" si="2"/>
        <v>5550916.0684437919</v>
      </c>
      <c r="G24" s="21">
        <f>IF(A24&lt;=Assumptions!$C$26,PV('Scenario Tables'!E$27/12,(Assumptions!$C$26-A24)*12,-$C$11),0)</f>
        <v>2195579.5352130467</v>
      </c>
      <c r="H24" s="21">
        <f t="shared" si="3"/>
        <v>3355336.5332307452</v>
      </c>
      <c r="I24" s="21">
        <f>IF(A24&lt;=Assumptions!$C$26,G23*'Scenario Tables'!E$27,0)</f>
        <v>38134.627099055106</v>
      </c>
      <c r="J24" s="21">
        <f>IF(A24&lt;=Assumptions!$C$26,$C$12-I24,0)</f>
        <v>85903.539061246178</v>
      </c>
      <c r="K24" s="21">
        <f>IF(Assumptions!$C$39="Investment",Assumptions!$E$35*12*(1+Assumptions!$E$36)^(A24-1)*(1-Assumptions!$C$40),Assumptions!$E$35*12*(1+Assumptions!$E$36)^(A24-1))</f>
        <v>115291.28309062292</v>
      </c>
      <c r="L24" s="21">
        <f>IF(Assumptions!$C$39="Investment",_xlfn.LET(_xlpm.gr,Assumptions!$E$35*12*(1+Assumptions!$E$36)^(A24-1),Assumptions!$E$37*(1+Assumptions!$E$36)^(A24-1)+MIN(_xlpm.gr,30000)*0.12+MAX(0,MIN(_xlpm.gr,45000)-30000)*0.2+MAX(0,MIN(_xlpm.gr,60000)-45000)*0.28+MAX(0,_xlpm.gr-60000)*0.36+K24*Assumptions!$C$41),Assumptions!$E$37*(1+Assumptions!$E$36)^(A24-1)+MAX(0,MIN(K24,25000)-12000)*0.04+MAX(0,MIN(K24,38000)-25000)*0.06+MAX(0,MIN(K24,50000)-38000)*0.08+MAX(0,MIN(K24,65000)-50000)*0.1+MAX(0,MIN(K24,80000)-65000)*0.12+MAX(0,MIN(K24,95000)-80000)*0.14+MAX(0,MIN(K24,110000)-95000)*0.16+MAX(0,K24-110000)*0.23)</f>
        <v>21118.933911262302</v>
      </c>
      <c r="M24" s="21">
        <f>IF(Assumptions!$C$39="Investment",(K24-I24-L24)*(1-Assumptions!$C$42),K24-I24-L24)</f>
        <v>56037.722080305524</v>
      </c>
      <c r="N24" s="21">
        <f t="shared" si="4"/>
        <v>399067.50868040923</v>
      </c>
      <c r="O24" s="31">
        <f t="shared" si="5"/>
        <v>1.770258036022742</v>
      </c>
      <c r="P24" s="21">
        <f>Assumptions!$C$8*(1+Assumptions!$C$9)^A24-Assumptions!$C$8+$C$7*((1+Assumptions!$C$9)^A24-1)</f>
        <v>74658.890984299651</v>
      </c>
      <c r="Q24" s="21">
        <f t="shared" si="6"/>
        <v>3280677.6422464456</v>
      </c>
      <c r="R24" s="21">
        <f>N24/(1+Assumptions!$C$43)^A24</f>
        <v>319544.67246084847</v>
      </c>
      <c r="S24">
        <f>((H24/$C$10)^(1/A24))/(1+Assumptions!$C$43)-1</f>
        <v>9.2559375887890427E-2</v>
      </c>
    </row>
    <row r="25" spans="1:19" x14ac:dyDescent="0.2">
      <c r="A25" s="29">
        <f t="shared" si="0"/>
        <v>10</v>
      </c>
      <c r="B25" s="29">
        <f t="shared" si="1"/>
        <v>42</v>
      </c>
      <c r="C25" s="29" t="s">
        <v>39</v>
      </c>
      <c r="D25" s="31">
        <v>1</v>
      </c>
      <c r="E25" s="21">
        <f>E24*(1+Assumptions!$E$34)</f>
        <v>5772952.7111815438</v>
      </c>
      <c r="F25" s="21">
        <f t="shared" si="2"/>
        <v>5772952.7111815438</v>
      </c>
      <c r="G25" s="21">
        <f>IF(A25&lt;=Assumptions!$C$26,PV('Scenario Tables'!E$27/12,(Assumptions!$C$26-A25)*12,-$C$11),0)</f>
        <v>2107557.3960386598</v>
      </c>
      <c r="H25" s="21">
        <f t="shared" si="3"/>
        <v>3665395.3151428839</v>
      </c>
      <c r="I25" s="21">
        <f>IF(A25&lt;=Assumptions!$C$26,G24*'Scenario Tables'!E$27,0)</f>
        <v>36688.13403341001</v>
      </c>
      <c r="J25" s="21">
        <f>IF(A25&lt;=Assumptions!$C$26,$C$12-I25,0)</f>
        <v>87350.032126891267</v>
      </c>
      <c r="K25" s="21">
        <f>IF(Assumptions!$C$39="Investment",Assumptions!$E$35*12*(1+Assumptions!$E$36)^(A25-1)*(1-Assumptions!$C$40),Assumptions!$E$35*12*(1+Assumptions!$E$36)^(A25-1))</f>
        <v>117597.10875243539</v>
      </c>
      <c r="L25" s="21">
        <f>IF(Assumptions!$C$39="Investment",_xlfn.LET(_xlpm.gr,Assumptions!$E$35*12*(1+Assumptions!$E$36)^(A25-1),Assumptions!$E$37*(1+Assumptions!$E$36)^(A25-1)+MIN(_xlpm.gr,30000)*0.12+MAX(0,MIN(_xlpm.gr,45000)-30000)*0.2+MAX(0,MIN(_xlpm.gr,60000)-45000)*0.28+MAX(0,_xlpm.gr-60000)*0.36+K25*Assumptions!$C$41),Assumptions!$E$37*(1+Assumptions!$E$36)^(A25-1)+MAX(0,MIN(K25,25000)-12000)*0.04+MAX(0,MIN(K25,38000)-25000)*0.06+MAX(0,MIN(K25,50000)-38000)*0.08+MAX(0,MIN(K25,65000)-50000)*0.1+MAX(0,MIN(K25,80000)-65000)*0.12+MAX(0,MIN(K25,95000)-80000)*0.14+MAX(0,MIN(K25,110000)-95000)*0.16+MAX(0,K25-110000)*0.23)</f>
        <v>21846.112589487551</v>
      </c>
      <c r="M25" s="21">
        <f>IF(Assumptions!$C$39="Investment",(K25-I25-L25)*(1-Assumptions!$C$42),K25-I25-L25)</f>
        <v>59062.862129537833</v>
      </c>
      <c r="N25" s="21">
        <f t="shared" si="4"/>
        <v>458130.37080994708</v>
      </c>
      <c r="O25" s="31">
        <f t="shared" si="5"/>
        <v>2.0262510858181009</v>
      </c>
      <c r="P25" s="21">
        <f>Assumptions!$C$8*(1+Assumptions!$C$9)^A25-Assumptions!$C$8+$C$7*((1+Assumptions!$C$9)^A25-1)</f>
        <v>84025.363258907106</v>
      </c>
      <c r="Q25" s="21">
        <f t="shared" si="6"/>
        <v>3581369.9518839768</v>
      </c>
      <c r="R25" s="21">
        <f>N25/(1+Assumptions!$C$43)^A25</f>
        <v>357890.71345874533</v>
      </c>
      <c r="S25">
        <f>((H25/$C$10)^(1/A25))/(1+Assumptions!$C$43)-1</f>
        <v>8.9849753829328138E-2</v>
      </c>
    </row>
    <row r="26" spans="1:19" x14ac:dyDescent="0.2">
      <c r="A26" s="29">
        <f t="shared" si="0"/>
        <v>11</v>
      </c>
      <c r="B26" s="29">
        <f t="shared" si="1"/>
        <v>43</v>
      </c>
      <c r="C26" s="29" t="s">
        <v>39</v>
      </c>
      <c r="D26" s="31">
        <v>1</v>
      </c>
      <c r="E26" s="21">
        <f>E25*(1+Assumptions!$E$34)</f>
        <v>6003870.8196288059</v>
      </c>
      <c r="F26" s="21">
        <f t="shared" si="2"/>
        <v>6003870.8196288059</v>
      </c>
      <c r="G26" s="21">
        <f>IF(A26&lt;=Assumptions!$C$26,PV('Scenario Tables'!E$27/12,(Assumptions!$C$26-A26)*12,-$C$11),0)</f>
        <v>2018053.089594679</v>
      </c>
      <c r="H26" s="21">
        <f t="shared" si="3"/>
        <v>3985817.7300341269</v>
      </c>
      <c r="I26" s="21">
        <f>IF(A26&lt;=Assumptions!$C$26,G25*'Scenario Tables'!E$27,0)</f>
        <v>35217.284087806001</v>
      </c>
      <c r="J26" s="21">
        <f>IF(A26&lt;=Assumptions!$C$26,$C$12-I26,0)</f>
        <v>88820.882072495267</v>
      </c>
      <c r="K26" s="21">
        <f>IF(Assumptions!$C$39="Investment",Assumptions!$E$35*12*(1+Assumptions!$E$36)^(A26-1)*(1-Assumptions!$C$40),Assumptions!$E$35*12*(1+Assumptions!$E$36)^(A26-1))</f>
        <v>119949.0509274841</v>
      </c>
      <c r="L26" s="21">
        <f>IF(Assumptions!$C$39="Investment",_xlfn.LET(_xlpm.gr,Assumptions!$E$35*12*(1+Assumptions!$E$36)^(A26-1),Assumptions!$E$37*(1+Assumptions!$E$36)^(A26-1)+MIN(_xlpm.gr,30000)*0.12+MAX(0,MIN(_xlpm.gr,45000)-30000)*0.2+MAX(0,MIN(_xlpm.gr,60000)-45000)*0.28+MAX(0,_xlpm.gr-60000)*0.36+K26*Assumptions!$C$41),Assumptions!$E$37*(1+Assumptions!$E$36)^(A26-1)+MAX(0,MIN(K26,25000)-12000)*0.04+MAX(0,MIN(K26,38000)-25000)*0.06+MAX(0,MIN(K26,50000)-38000)*0.08+MAX(0,MIN(K26,65000)-50000)*0.1+MAX(0,MIN(K26,80000)-65000)*0.12+MAX(0,MIN(K26,95000)-80000)*0.14+MAX(0,MIN(K26,110000)-95000)*0.16+MAX(0,K26-110000)*0.23)</f>
        <v>22587.834841277301</v>
      </c>
      <c r="M26" s="21">
        <f>IF(Assumptions!$C$39="Investment",(K26-I26-L26)*(1-Assumptions!$C$42),K26-I26-L26)</f>
        <v>62143.931998400803</v>
      </c>
      <c r="N26" s="21">
        <f t="shared" si="4"/>
        <v>520274.30280834786</v>
      </c>
      <c r="O26" s="31">
        <f t="shared" si="5"/>
        <v>2.2908006357613333</v>
      </c>
      <c r="P26" s="21">
        <f>Assumptions!$C$8*(1+Assumptions!$C$9)^A26-Assumptions!$C$8+$C$7*((1+Assumptions!$C$9)^A26-1)</f>
        <v>93625.997340379807</v>
      </c>
      <c r="Q26" s="21">
        <f t="shared" si="6"/>
        <v>3892191.7326937472</v>
      </c>
      <c r="R26" s="21">
        <f>N26/(1+Assumptions!$C$43)^A26</f>
        <v>396524.34518326662</v>
      </c>
      <c r="S26">
        <f>((H26/$C$10)^(1/A26))/(1+Assumptions!$C$43)-1</f>
        <v>8.718524665865246E-2</v>
      </c>
    </row>
    <row r="27" spans="1:19" x14ac:dyDescent="0.2">
      <c r="A27" s="29">
        <f t="shared" si="0"/>
        <v>12</v>
      </c>
      <c r="B27" s="29">
        <f t="shared" si="1"/>
        <v>44</v>
      </c>
      <c r="C27" s="29" t="s">
        <v>39</v>
      </c>
      <c r="D27" s="31">
        <v>1</v>
      </c>
      <c r="E27" s="21">
        <f>E26*(1+Assumptions!$E$34)</f>
        <v>6244025.6524139587</v>
      </c>
      <c r="F27" s="21">
        <f t="shared" si="2"/>
        <v>6244025.6524139587</v>
      </c>
      <c r="G27" s="21">
        <f>IF(A27&lt;=Assumptions!$C$26,PV('Scenario Tables'!E$27/12,(Assumptions!$C$26-A27)*12,-$C$11),0)</f>
        <v>1927041.6582984333</v>
      </c>
      <c r="H27" s="21">
        <f t="shared" si="3"/>
        <v>4316983.9941155259</v>
      </c>
      <c r="I27" s="21">
        <f>IF(A27&lt;=Assumptions!$C$26,G26*'Scenario Tables'!E$27,0)</f>
        <v>33721.667127127082</v>
      </c>
      <c r="J27" s="21">
        <f>IF(A27&lt;=Assumptions!$C$26,$C$12-I27,0)</f>
        <v>90316.499033174186</v>
      </c>
      <c r="K27" s="21">
        <f>IF(Assumptions!$C$39="Investment",Assumptions!$E$35*12*(1+Assumptions!$E$36)^(A27-1)*(1-Assumptions!$C$40),Assumptions!$E$35*12*(1+Assumptions!$E$36)^(A27-1))</f>
        <v>122348.03194603376</v>
      </c>
      <c r="L27" s="21">
        <f>IF(Assumptions!$C$39="Investment",_xlfn.LET(_xlpm.gr,Assumptions!$E$35*12*(1+Assumptions!$E$36)^(A27-1),Assumptions!$E$37*(1+Assumptions!$E$36)^(A27-1)+MIN(_xlpm.gr,30000)*0.12+MAX(0,MIN(_xlpm.gr,45000)-30000)*0.2+MAX(0,MIN(_xlpm.gr,60000)-45000)*0.28+MAX(0,_xlpm.gr-60000)*0.36+K27*Assumptions!$C$41),Assumptions!$E$37*(1+Assumptions!$E$36)^(A27-1)+MAX(0,MIN(K27,25000)-12000)*0.04+MAX(0,MIN(K27,38000)-25000)*0.06+MAX(0,MIN(K27,50000)-38000)*0.08+MAX(0,MIN(K27,65000)-50000)*0.1+MAX(0,MIN(K27,80000)-65000)*0.12+MAX(0,MIN(K27,95000)-80000)*0.14+MAX(0,MIN(K27,110000)-95000)*0.16+MAX(0,K27-110000)*0.23)</f>
        <v>23344.391538102842</v>
      </c>
      <c r="M27" s="21">
        <f>IF(Assumptions!$C$39="Investment",(K27-I27-L27)*(1-Assumptions!$C$42),K27-I27-L27)</f>
        <v>65281.973280803832</v>
      </c>
      <c r="N27" s="21">
        <f t="shared" si="4"/>
        <v>585556.27608915174</v>
      </c>
      <c r="O27" s="31">
        <f t="shared" si="5"/>
        <v>2.5642206028034393</v>
      </c>
      <c r="P27" s="21">
        <f>Assumptions!$C$8*(1+Assumptions!$C$9)^A27-Assumptions!$C$8+$C$7*((1+Assumptions!$C$9)^A27-1)</f>
        <v>103466.64727388928</v>
      </c>
      <c r="Q27" s="21">
        <f t="shared" si="6"/>
        <v>4213517.346841637</v>
      </c>
      <c r="R27" s="21">
        <f>N27/(1+Assumptions!$C$43)^A27</f>
        <v>435393.81511130417</v>
      </c>
      <c r="S27">
        <f>((H27/$C$10)^(1/A27))/(1+Assumptions!$C$43)-1</f>
        <v>8.4608946996525436E-2</v>
      </c>
    </row>
    <row r="28" spans="1:19" x14ac:dyDescent="0.2">
      <c r="A28" s="29">
        <f t="shared" si="0"/>
        <v>13</v>
      </c>
      <c r="B28" s="29">
        <f t="shared" si="1"/>
        <v>45</v>
      </c>
      <c r="C28" s="29" t="s">
        <v>39</v>
      </c>
      <c r="D28" s="31">
        <v>1</v>
      </c>
      <c r="E28" s="21">
        <f>E27*(1+Assumptions!$E$34)</f>
        <v>6493786.6785105169</v>
      </c>
      <c r="F28" s="21">
        <f t="shared" si="2"/>
        <v>6493786.6785105169</v>
      </c>
      <c r="G28" s="21">
        <f>IF(A28&lt;=Assumptions!$C$26,PV('Scenario Tables'!E$27/12,(Assumptions!$C$26-A28)*12,-$C$11),0)</f>
        <v>1834497.7243171639</v>
      </c>
      <c r="H28" s="21">
        <f t="shared" si="3"/>
        <v>4659288.9541933527</v>
      </c>
      <c r="I28" s="21">
        <f>IF(A28&lt;=Assumptions!$C$26,G27*'Scenario Tables'!E$27,0)</f>
        <v>32200.866110166819</v>
      </c>
      <c r="J28" s="21">
        <f>IF(A28&lt;=Assumptions!$C$26,$C$12-I28,0)</f>
        <v>91837.30005013445</v>
      </c>
      <c r="K28" s="21">
        <f>IF(Assumptions!$C$39="Investment",Assumptions!$E$35*12*(1+Assumptions!$E$36)^(A28-1)*(1-Assumptions!$C$40),Assumptions!$E$35*12*(1+Assumptions!$E$36)^(A28-1))</f>
        <v>124794.99258495445</v>
      </c>
      <c r="L28" s="21">
        <f>IF(Assumptions!$C$39="Investment",_xlfn.LET(_xlpm.gr,Assumptions!$E$35*12*(1+Assumptions!$E$36)^(A28-1),Assumptions!$E$37*(1+Assumptions!$E$36)^(A28-1)+MIN(_xlpm.gr,30000)*0.12+MAX(0,MIN(_xlpm.gr,45000)-30000)*0.2+MAX(0,MIN(_xlpm.gr,60000)-45000)*0.28+MAX(0,_xlpm.gr-60000)*0.36+K28*Assumptions!$C$41),Assumptions!$E$37*(1+Assumptions!$E$36)^(A28-1)+MAX(0,MIN(K28,25000)-12000)*0.04+MAX(0,MIN(K28,38000)-25000)*0.06+MAX(0,MIN(K28,50000)-38000)*0.08+MAX(0,MIN(K28,65000)-50000)*0.1+MAX(0,MIN(K28,80000)-65000)*0.12+MAX(0,MIN(K28,95000)-80000)*0.14+MAX(0,MIN(K28,110000)-95000)*0.16+MAX(0,K28-110000)*0.23)</f>
        <v>24116.079368864906</v>
      </c>
      <c r="M28" s="21">
        <f>IF(Assumptions!$C$39="Investment",(K28-I28-L28)*(1-Assumptions!$C$42),K28-I28-L28)</f>
        <v>68478.047105922713</v>
      </c>
      <c r="N28" s="21">
        <f t="shared" si="4"/>
        <v>654034.32319507445</v>
      </c>
      <c r="O28" s="31">
        <f t="shared" si="5"/>
        <v>2.846836983316837</v>
      </c>
      <c r="P28" s="21">
        <f>Assumptions!$C$8*(1+Assumptions!$C$9)^A28-Assumptions!$C$8+$C$7*((1+Assumptions!$C$9)^A28-1)</f>
        <v>113553.31345573648</v>
      </c>
      <c r="Q28" s="21">
        <f t="shared" si="6"/>
        <v>4545735.6407376165</v>
      </c>
      <c r="R28" s="21">
        <f>N28/(1+Assumptions!$C$43)^A28</f>
        <v>474449.82442275406</v>
      </c>
      <c r="S28">
        <f>((H28/$C$10)^(1/A28))/(1+Assumptions!$C$43)-1</f>
        <v>8.2141662937341708E-2</v>
      </c>
    </row>
    <row r="29" spans="1:19" x14ac:dyDescent="0.2">
      <c r="A29" s="29">
        <f t="shared" si="0"/>
        <v>14</v>
      </c>
      <c r="B29" s="29">
        <f t="shared" si="1"/>
        <v>46</v>
      </c>
      <c r="C29" s="29" t="s">
        <v>39</v>
      </c>
      <c r="D29" s="31">
        <v>1</v>
      </c>
      <c r="E29" s="21">
        <f>E28*(1+Assumptions!$E$34)</f>
        <v>6753538.1456509382</v>
      </c>
      <c r="F29" s="21">
        <f t="shared" si="2"/>
        <v>6753538.1456509382</v>
      </c>
      <c r="G29" s="21">
        <f>IF(A29&lt;=Assumptions!$C$26,PV('Scenario Tables'!E$27/12,(Assumptions!$C$26-A29)*12,-$C$11),0)</f>
        <v>1740395.4824916038</v>
      </c>
      <c r="H29" s="21">
        <f t="shared" si="3"/>
        <v>5013142.6631593341</v>
      </c>
      <c r="I29" s="21">
        <f>IF(A29&lt;=Assumptions!$C$26,G28*'Scenario Tables'!E$27,0)</f>
        <v>30654.456973339809</v>
      </c>
      <c r="J29" s="21">
        <f>IF(A29&lt;=Assumptions!$C$26,$C$12-I29,0)</f>
        <v>93383.709186961467</v>
      </c>
      <c r="K29" s="21">
        <f>IF(Assumptions!$C$39="Investment",Assumptions!$E$35*12*(1+Assumptions!$E$36)^(A29-1)*(1-Assumptions!$C$40),Assumptions!$E$35*12*(1+Assumptions!$E$36)^(A29-1))</f>
        <v>127290.89243665354</v>
      </c>
      <c r="L29" s="21">
        <f>IF(Assumptions!$C$39="Investment",_xlfn.LET(_xlpm.gr,Assumptions!$E$35*12*(1+Assumptions!$E$36)^(A29-1),Assumptions!$E$37*(1+Assumptions!$E$36)^(A29-1)+MIN(_xlpm.gr,30000)*0.12+MAX(0,MIN(_xlpm.gr,45000)-30000)*0.2+MAX(0,MIN(_xlpm.gr,60000)-45000)*0.28+MAX(0,_xlpm.gr-60000)*0.36+K29*Assumptions!$C$41),Assumptions!$E$37*(1+Assumptions!$E$36)^(A29-1)+MAX(0,MIN(K29,25000)-12000)*0.04+MAX(0,MIN(K29,38000)-25000)*0.06+MAX(0,MIN(K29,50000)-38000)*0.08+MAX(0,MIN(K29,65000)-50000)*0.1+MAX(0,MIN(K29,80000)-65000)*0.12+MAX(0,MIN(K29,95000)-80000)*0.14+MAX(0,MIN(K29,110000)-95000)*0.16+MAX(0,K29-110000)*0.23)</f>
        <v>24903.200956242203</v>
      </c>
      <c r="M29" s="21">
        <f>IF(Assumptions!$C$39="Investment",(K29-I29-L29)*(1-Assumptions!$C$42),K29-I29-L29)</f>
        <v>71733.234507071524</v>
      </c>
      <c r="N29" s="21">
        <f t="shared" si="4"/>
        <v>725767.557702146</v>
      </c>
      <c r="O29" s="31">
        <f t="shared" si="5"/>
        <v>3.1389883282359099</v>
      </c>
      <c r="P29" s="21">
        <f>Assumptions!$C$8*(1+Assumptions!$C$9)^A29-Assumptions!$C$8+$C$7*((1+Assumptions!$C$9)^A29-1)</f>
        <v>123892.14629212982</v>
      </c>
      <c r="Q29" s="21">
        <f t="shared" si="6"/>
        <v>4889250.5168672046</v>
      </c>
      <c r="R29" s="21">
        <f>N29/(1+Assumptions!$C$43)^A29</f>
        <v>513645.43838609516</v>
      </c>
      <c r="S29">
        <f>((H29/$C$10)^(1/A29))/(1+Assumptions!$C$43)-1</f>
        <v>7.9791752929486703E-2</v>
      </c>
    </row>
    <row r="30" spans="1:19" x14ac:dyDescent="0.2">
      <c r="A30" s="29">
        <f t="shared" si="0"/>
        <v>15</v>
      </c>
      <c r="B30" s="29">
        <f t="shared" si="1"/>
        <v>47</v>
      </c>
      <c r="C30" s="29" t="s">
        <v>39</v>
      </c>
      <c r="D30" s="31">
        <v>1</v>
      </c>
      <c r="E30" s="21">
        <f>E29*(1+Assumptions!$E$34)</f>
        <v>7023679.671476976</v>
      </c>
      <c r="F30" s="21">
        <f t="shared" si="2"/>
        <v>7023679.671476976</v>
      </c>
      <c r="G30" s="21">
        <f>IF(A30&lt;=Assumptions!$C$26,PV('Scenario Tables'!E$27/12,(Assumptions!$C$26-A30)*12,-$C$11),0)</f>
        <v>1644708.6931404136</v>
      </c>
      <c r="H30" s="21">
        <f t="shared" si="3"/>
        <v>5378970.9783365624</v>
      </c>
      <c r="I30" s="21">
        <f>IF(A30&lt;=Assumptions!$C$26,G29*'Scenario Tables'!E$27,0)</f>
        <v>29082.008512434699</v>
      </c>
      <c r="J30" s="21">
        <f>IF(A30&lt;=Assumptions!$C$26,$C$12-I30,0)</f>
        <v>94956.157647866581</v>
      </c>
      <c r="K30" s="21">
        <f>IF(Assumptions!$C$39="Investment",Assumptions!$E$35*12*(1+Assumptions!$E$36)^(A30-1)*(1-Assumptions!$C$40),Assumptions!$E$35*12*(1+Assumptions!$E$36)^(A30-1))</f>
        <v>129836.71028538662</v>
      </c>
      <c r="L30" s="21">
        <f>IF(Assumptions!$C$39="Investment",_xlfn.LET(_xlpm.gr,Assumptions!$E$35*12*(1+Assumptions!$E$36)^(A30-1),Assumptions!$E$37*(1+Assumptions!$E$36)^(A30-1)+MIN(_xlpm.gr,30000)*0.12+MAX(0,MIN(_xlpm.gr,45000)-30000)*0.2+MAX(0,MIN(_xlpm.gr,60000)-45000)*0.28+MAX(0,_xlpm.gr-60000)*0.36+K30*Assumptions!$C$41),Assumptions!$E$37*(1+Assumptions!$E$36)^(A30-1)+MAX(0,MIN(K30,25000)-12000)*0.04+MAX(0,MIN(K30,38000)-25000)*0.06+MAX(0,MIN(K30,50000)-38000)*0.08+MAX(0,MIN(K30,65000)-50000)*0.1+MAX(0,MIN(K30,80000)-65000)*0.12+MAX(0,MIN(K30,95000)-80000)*0.14+MAX(0,MIN(K30,110000)-95000)*0.16+MAX(0,K30-110000)*0.23)</f>
        <v>25706.064975367051</v>
      </c>
      <c r="M30" s="21">
        <f>IF(Assumptions!$C$39="Investment",(K30-I30-L30)*(1-Assumptions!$C$42),K30-I30-L30)</f>
        <v>75048.636797584884</v>
      </c>
      <c r="N30" s="21">
        <f t="shared" si="4"/>
        <v>800816.19449973083</v>
      </c>
      <c r="O30" s="31">
        <f t="shared" si="5"/>
        <v>3.4410262370678355</v>
      </c>
      <c r="P30" s="21">
        <f>Assumptions!$C$8*(1+Assumptions!$C$9)^A30-Assumptions!$C$8+$C$7*((1+Assumptions!$C$9)^A30-1)</f>
        <v>134489.44994943315</v>
      </c>
      <c r="Q30" s="21">
        <f t="shared" si="6"/>
        <v>5244481.5283871293</v>
      </c>
      <c r="R30" s="21">
        <f>N30/(1+Assumptions!$C$43)^A30</f>
        <v>552935.99966093421</v>
      </c>
      <c r="S30">
        <f>((H30/$C$10)^(1/A30))/(1+Assumptions!$C$43)-1</f>
        <v>7.7560568007372543E-2</v>
      </c>
    </row>
    <row r="31" spans="1:19" x14ac:dyDescent="0.2">
      <c r="A31" s="29">
        <f t="shared" si="0"/>
        <v>16</v>
      </c>
      <c r="B31" s="29">
        <f t="shared" si="1"/>
        <v>48</v>
      </c>
      <c r="C31" s="29" t="s">
        <v>39</v>
      </c>
      <c r="D31" s="31">
        <v>1</v>
      </c>
      <c r="E31" s="21">
        <f>E30*(1+Assumptions!$E$34)</f>
        <v>7304626.8583360557</v>
      </c>
      <c r="F31" s="21">
        <f t="shared" si="2"/>
        <v>7304626.8583360557</v>
      </c>
      <c r="G31" s="21">
        <f>IF(A31&lt;=Assumptions!$C$26,PV('Scenario Tables'!E$27/12,(Assumptions!$C$26-A31)*12,-$C$11),0)</f>
        <v>1547410.6747434495</v>
      </c>
      <c r="H31" s="21">
        <f t="shared" si="3"/>
        <v>5757216.1835926063</v>
      </c>
      <c r="I31" s="21">
        <f>IF(A31&lt;=Assumptions!$C$26,G30*'Scenario Tables'!E$27,0)</f>
        <v>27483.082262376309</v>
      </c>
      <c r="J31" s="21">
        <f>IF(A31&lt;=Assumptions!$C$26,$C$12-I31,0)</f>
        <v>96555.083897924967</v>
      </c>
      <c r="K31" s="21">
        <f>IF(Assumptions!$C$39="Investment",Assumptions!$E$35*12*(1+Assumptions!$E$36)^(A31-1)*(1-Assumptions!$C$40),Assumptions!$E$35*12*(1+Assumptions!$E$36)^(A31-1))</f>
        <v>132433.44449109433</v>
      </c>
      <c r="L31" s="21">
        <f>IF(Assumptions!$C$39="Investment",_xlfn.LET(_xlpm.gr,Assumptions!$E$35*12*(1+Assumptions!$E$36)^(A31-1),Assumptions!$E$37*(1+Assumptions!$E$36)^(A31-1)+MIN(_xlpm.gr,30000)*0.12+MAX(0,MIN(_xlpm.gr,45000)-30000)*0.2+MAX(0,MIN(_xlpm.gr,60000)-45000)*0.28+MAX(0,_xlpm.gr-60000)*0.36+K31*Assumptions!$C$41),Assumptions!$E$37*(1+Assumptions!$E$36)^(A31-1)+MAX(0,MIN(K31,25000)-12000)*0.04+MAX(0,MIN(K31,38000)-25000)*0.06+MAX(0,MIN(K31,50000)-38000)*0.08+MAX(0,MIN(K31,65000)-50000)*0.1+MAX(0,MIN(K31,80000)-65000)*0.12+MAX(0,MIN(K31,95000)-80000)*0.14+MAX(0,MIN(K31,110000)-95000)*0.16+MAX(0,K31-110000)*0.23)</f>
        <v>26524.986274874384</v>
      </c>
      <c r="M31" s="21">
        <f>IF(Assumptions!$C$39="Investment",(K31-I31-L31)*(1-Assumptions!$C$42),K31-I31-L31)</f>
        <v>78425.375953843642</v>
      </c>
      <c r="N31" s="21">
        <f t="shared" si="4"/>
        <v>879241.57045357442</v>
      </c>
      <c r="O31" s="31">
        <f t="shared" si="5"/>
        <v>3.7533158715262602</v>
      </c>
      <c r="P31" s="21">
        <f>Assumptions!$C$8*(1+Assumptions!$C$9)^A31-Assumptions!$C$8+$C$7*((1+Assumptions!$C$9)^A31-1)</f>
        <v>145351.68619816896</v>
      </c>
      <c r="Q31" s="21">
        <f t="shared" si="6"/>
        <v>5611864.497394437</v>
      </c>
      <c r="R31" s="21">
        <f>N31/(1+Assumptions!$C$43)^A31</f>
        <v>592279.04442849918</v>
      </c>
      <c r="S31">
        <f>((H31/$C$10)^(1/A31))/(1+Assumptions!$C$43)-1</f>
        <v>7.5445549866239858E-2</v>
      </c>
    </row>
    <row r="32" spans="1:19" x14ac:dyDescent="0.2">
      <c r="A32" s="29">
        <f t="shared" si="0"/>
        <v>17</v>
      </c>
      <c r="B32" s="29">
        <f t="shared" si="1"/>
        <v>49</v>
      </c>
      <c r="C32" s="29" t="s">
        <v>39</v>
      </c>
      <c r="D32" s="31">
        <v>1</v>
      </c>
      <c r="E32" s="21">
        <f>E31*(1+Assumptions!$E$34)</f>
        <v>7596811.932669498</v>
      </c>
      <c r="F32" s="21">
        <f t="shared" si="2"/>
        <v>7596811.932669498</v>
      </c>
      <c r="G32" s="21">
        <f>IF(A32&lt;=Assumptions!$C$26,PV('Scenario Tables'!E$27/12,(Assumptions!$C$26-A32)*12,-$C$11),0)</f>
        <v>1448474.2965018256</v>
      </c>
      <c r="H32" s="21">
        <f t="shared" si="3"/>
        <v>6148337.6361676725</v>
      </c>
      <c r="I32" s="21">
        <f>IF(A32&lt;=Assumptions!$C$26,G31*'Scenario Tables'!E$27,0)</f>
        <v>25857.232374963041</v>
      </c>
      <c r="J32" s="21">
        <f>IF(A32&lt;=Assumptions!$C$26,$C$12-I32,0)</f>
        <v>98180.933785338231</v>
      </c>
      <c r="K32" s="21">
        <f>IF(Assumptions!$C$39="Investment",Assumptions!$E$35*12*(1+Assumptions!$E$36)^(A32-1)*(1-Assumptions!$C$40),Assumptions!$E$35*12*(1+Assumptions!$E$36)^(A32-1))</f>
        <v>135082.11338091621</v>
      </c>
      <c r="L32" s="21">
        <f>IF(Assumptions!$C$39="Investment",_xlfn.LET(_xlpm.gr,Assumptions!$E$35*12*(1+Assumptions!$E$36)^(A32-1),Assumptions!$E$37*(1+Assumptions!$E$36)^(A32-1)+MIN(_xlpm.gr,30000)*0.12+MAX(0,MIN(_xlpm.gr,45000)-30000)*0.2+MAX(0,MIN(_xlpm.gr,60000)-45000)*0.28+MAX(0,_xlpm.gr-60000)*0.36+K32*Assumptions!$C$41),Assumptions!$E$37*(1+Assumptions!$E$36)^(A32-1)+MAX(0,MIN(K32,25000)-12000)*0.04+MAX(0,MIN(K32,38000)-25000)*0.06+MAX(0,MIN(K32,50000)-38000)*0.08+MAX(0,MIN(K32,65000)-50000)*0.1+MAX(0,MIN(K32,80000)-65000)*0.12+MAX(0,MIN(K32,95000)-80000)*0.14+MAX(0,MIN(K32,110000)-95000)*0.16+MAX(0,K32-110000)*0.23)</f>
        <v>27360.286000371871</v>
      </c>
      <c r="M32" s="21">
        <f>IF(Assumptions!$C$39="Investment",(K32-I32-L32)*(1-Assumptions!$C$42),K32-I32-L32)</f>
        <v>81864.595005581301</v>
      </c>
      <c r="N32" s="21">
        <f t="shared" si="4"/>
        <v>961106.16545915569</v>
      </c>
      <c r="O32" s="31">
        <f t="shared" si="5"/>
        <v>4.0762364895704035</v>
      </c>
      <c r="P32" s="21">
        <f>Assumptions!$C$8*(1+Assumptions!$C$9)^A32-Assumptions!$C$8+$C$7*((1+Assumptions!$C$9)^A32-1)</f>
        <v>156485.47835312312</v>
      </c>
      <c r="Q32" s="21">
        <f t="shared" si="6"/>
        <v>5991852.1578145493</v>
      </c>
      <c r="R32" s="21">
        <f>N32/(1+Assumptions!$C$43)^A32</f>
        <v>631634.22126366547</v>
      </c>
      <c r="S32">
        <f>((H32/$C$10)^(1/A32))/(1+Assumptions!$C$43)-1</f>
        <v>7.3442030844884876E-2</v>
      </c>
    </row>
    <row r="33" spans="1:19" x14ac:dyDescent="0.2">
      <c r="A33" s="29">
        <f t="shared" si="0"/>
        <v>18</v>
      </c>
      <c r="B33" s="29">
        <f t="shared" si="1"/>
        <v>50</v>
      </c>
      <c r="C33" s="29" t="s">
        <v>39</v>
      </c>
      <c r="D33" s="31">
        <v>1</v>
      </c>
      <c r="E33" s="21">
        <f>E32*(1+Assumptions!$E$34)</f>
        <v>7900684.4099762784</v>
      </c>
      <c r="F33" s="21">
        <f t="shared" si="2"/>
        <v>7900684.4099762784</v>
      </c>
      <c r="G33" s="21">
        <f>IF(A33&lt;=Assumptions!$C$26,PV('Scenario Tables'!E$27/12,(Assumptions!$C$26-A33)*12,-$C$11),0)</f>
        <v>1347871.9707726978</v>
      </c>
      <c r="H33" s="21">
        <f t="shared" si="3"/>
        <v>6552812.4392035808</v>
      </c>
      <c r="I33" s="21">
        <f>IF(A33&lt;=Assumptions!$C$26,G32*'Scenario Tables'!E$27,0)</f>
        <v>24204.005494545505</v>
      </c>
      <c r="J33" s="21">
        <f>IF(A33&lt;=Assumptions!$C$26,$C$12-I33,0)</f>
        <v>99834.160665755771</v>
      </c>
      <c r="K33" s="21">
        <f>IF(Assumptions!$C$39="Investment",Assumptions!$E$35*12*(1+Assumptions!$E$36)^(A33-1)*(1-Assumptions!$C$40),Assumptions!$E$35*12*(1+Assumptions!$E$36)^(A33-1))</f>
        <v>137783.75564853457</v>
      </c>
      <c r="L33" s="21">
        <f>IF(Assumptions!$C$39="Investment",_xlfn.LET(_xlpm.gr,Assumptions!$E$35*12*(1+Assumptions!$E$36)^(A33-1),Assumptions!$E$37*(1+Assumptions!$E$36)^(A33-1)+MIN(_xlpm.gr,30000)*0.12+MAX(0,MIN(_xlpm.gr,45000)-30000)*0.2+MAX(0,MIN(_xlpm.gr,60000)-45000)*0.28+MAX(0,_xlpm.gr-60000)*0.36+K33*Assumptions!$C$41),Assumptions!$E$37*(1+Assumptions!$E$36)^(A33-1)+MAX(0,MIN(K33,25000)-12000)*0.04+MAX(0,MIN(K33,38000)-25000)*0.06+MAX(0,MIN(K33,50000)-38000)*0.08+MAX(0,MIN(K33,65000)-50000)*0.1+MAX(0,MIN(K33,80000)-65000)*0.12+MAX(0,MIN(K33,95000)-80000)*0.14+MAX(0,MIN(K33,110000)-95000)*0.16+MAX(0,K33-110000)*0.23)</f>
        <v>28212.291720379319</v>
      </c>
      <c r="M33" s="21">
        <f>IF(Assumptions!$C$39="Investment",(K33-I33-L33)*(1-Assumptions!$C$42),K33-I33-L33)</f>
        <v>85367.458433609747</v>
      </c>
      <c r="N33" s="21">
        <f t="shared" si="4"/>
        <v>1046473.6238927655</v>
      </c>
      <c r="O33" s="31">
        <f t="shared" si="5"/>
        <v>4.4101820006634584</v>
      </c>
      <c r="P33" s="21">
        <f>Assumptions!$C$8*(1+Assumptions!$C$9)^A33-Assumptions!$C$8+$C$7*((1+Assumptions!$C$9)^A33-1)</f>
        <v>167897.6153119512</v>
      </c>
      <c r="Q33" s="21">
        <f t="shared" si="6"/>
        <v>6384914.8238916295</v>
      </c>
      <c r="R33" s="21">
        <f>N33/(1+Assumptions!$C$43)^A33</f>
        <v>670963.21266463795</v>
      </c>
      <c r="S33">
        <f>((H33/$C$10)^(1/A33))/(1+Assumptions!$C$43)-1</f>
        <v>7.1544293179175211E-2</v>
      </c>
    </row>
    <row r="34" spans="1:19" x14ac:dyDescent="0.2">
      <c r="A34" s="29">
        <f t="shared" si="0"/>
        <v>19</v>
      </c>
      <c r="B34" s="29">
        <f t="shared" si="1"/>
        <v>51</v>
      </c>
      <c r="C34" s="29" t="s">
        <v>39</v>
      </c>
      <c r="D34" s="31">
        <v>1</v>
      </c>
      <c r="E34" s="21">
        <f>E33*(1+Assumptions!$E$34)</f>
        <v>8216711.7863753298</v>
      </c>
      <c r="F34" s="21">
        <f t="shared" si="2"/>
        <v>8216711.7863753298</v>
      </c>
      <c r="G34" s="21">
        <f>IF(A34&lt;=Assumptions!$C$26,PV('Scenario Tables'!E$27/12,(Assumptions!$C$26-A34)*12,-$C$11),0)</f>
        <v>1245575.6453766755</v>
      </c>
      <c r="H34" s="21">
        <f t="shared" si="3"/>
        <v>6971136.1409986541</v>
      </c>
      <c r="I34" s="21">
        <f>IF(A34&lt;=Assumptions!$C$26,G33*'Scenario Tables'!E$27,0)</f>
        <v>22522.940631611778</v>
      </c>
      <c r="J34" s="21">
        <f>IF(A34&lt;=Assumptions!$C$26,$C$12-I34,0)</f>
        <v>101515.22552868949</v>
      </c>
      <c r="K34" s="21">
        <f>IF(Assumptions!$C$39="Investment",Assumptions!$E$35*12*(1+Assumptions!$E$36)^(A34-1)*(1-Assumptions!$C$40),Assumptions!$E$35*12*(1+Assumptions!$E$36)^(A34-1))</f>
        <v>140539.43076150524</v>
      </c>
      <c r="L34" s="21">
        <f>IF(Assumptions!$C$39="Investment",_xlfn.LET(_xlpm.gr,Assumptions!$E$35*12*(1+Assumptions!$E$36)^(A34-1),Assumptions!$E$37*(1+Assumptions!$E$36)^(A34-1)+MIN(_xlpm.gr,30000)*0.12+MAX(0,MIN(_xlpm.gr,45000)-30000)*0.2+MAX(0,MIN(_xlpm.gr,60000)-45000)*0.28+MAX(0,_xlpm.gr-60000)*0.36+K34*Assumptions!$C$41),Assumptions!$E$37*(1+Assumptions!$E$36)^(A34-1)+MAX(0,MIN(K34,25000)-12000)*0.04+MAX(0,MIN(K34,38000)-25000)*0.06+MAX(0,MIN(K34,50000)-38000)*0.08+MAX(0,MIN(K34,65000)-50000)*0.1+MAX(0,MIN(K34,80000)-65000)*0.12+MAX(0,MIN(K34,95000)-80000)*0.14+MAX(0,MIN(K34,110000)-95000)*0.16+MAX(0,K34-110000)*0.23)</f>
        <v>29081.337554786896</v>
      </c>
      <c r="M34" s="21">
        <f>IF(Assumptions!$C$39="Investment",(K34-I34-L34)*(1-Assumptions!$C$42),K34-I34-L34)</f>
        <v>88935.152575106564</v>
      </c>
      <c r="N34" s="21">
        <f t="shared" si="4"/>
        <v>1135408.7764678721</v>
      </c>
      <c r="O34" s="31">
        <f t="shared" si="5"/>
        <v>4.7555615430966434</v>
      </c>
      <c r="P34" s="21">
        <f>Assumptions!$C$8*(1+Assumptions!$C$9)^A34-Assumptions!$C$8+$C$7*((1+Assumptions!$C$9)^A34-1)</f>
        <v>179595.05569474999</v>
      </c>
      <c r="Q34" s="21">
        <f t="shared" si="6"/>
        <v>6791541.0853039045</v>
      </c>
      <c r="R34" s="21">
        <f>N34/(1+Assumptions!$C$43)^A34</f>
        <v>710229.65915887011</v>
      </c>
      <c r="S34">
        <f>((H34/$C$10)^(1/A34))/(1+Assumptions!$C$43)-1</f>
        <v>6.9746195245914855E-2</v>
      </c>
    </row>
    <row r="35" spans="1:19" x14ac:dyDescent="0.2">
      <c r="A35" s="29">
        <f t="shared" si="0"/>
        <v>20</v>
      </c>
      <c r="B35" s="29">
        <f t="shared" si="1"/>
        <v>52</v>
      </c>
      <c r="C35" s="29" t="s">
        <v>39</v>
      </c>
      <c r="D35" s="31">
        <v>1</v>
      </c>
      <c r="E35" s="21">
        <f>E34*(1+Assumptions!$E$34)</f>
        <v>8545380.2578303441</v>
      </c>
      <c r="F35" s="21">
        <f t="shared" si="2"/>
        <v>8545380.2578303441</v>
      </c>
      <c r="G35" s="21">
        <f>IF(A35&lt;=Assumptions!$C$26,PV('Scenario Tables'!E$27/12,(Assumptions!$C$26-A35)*12,-$C$11),0)</f>
        <v>1141556.7957756731</v>
      </c>
      <c r="H35" s="21">
        <f t="shared" si="3"/>
        <v>7403823.4620546708</v>
      </c>
      <c r="I35" s="21">
        <f>IF(A35&lt;=Assumptions!$C$26,G34*'Scenario Tables'!E$27,0)</f>
        <v>20813.569034244247</v>
      </c>
      <c r="J35" s="21">
        <f>IF(A35&lt;=Assumptions!$C$26,$C$12-I35,0)</f>
        <v>103224.59712605702</v>
      </c>
      <c r="K35" s="21">
        <f>IF(Assumptions!$C$39="Investment",Assumptions!$E$35*12*(1+Assumptions!$E$36)^(A35-1)*(1-Assumptions!$C$40),Assumptions!$E$35*12*(1+Assumptions!$E$36)^(A35-1))</f>
        <v>143350.21937673533</v>
      </c>
      <c r="L35" s="21">
        <f>IF(Assumptions!$C$39="Investment",_xlfn.LET(_xlpm.gr,Assumptions!$E$35*12*(1+Assumptions!$E$36)^(A35-1),Assumptions!$E$37*(1+Assumptions!$E$36)^(A35-1)+MIN(_xlpm.gr,30000)*0.12+MAX(0,MIN(_xlpm.gr,45000)-30000)*0.2+MAX(0,MIN(_xlpm.gr,60000)-45000)*0.28+MAX(0,_xlpm.gr-60000)*0.36+K35*Assumptions!$C$41),Assumptions!$E$37*(1+Assumptions!$E$36)^(A35-1)+MAX(0,MIN(K35,25000)-12000)*0.04+MAX(0,MIN(K35,38000)-25000)*0.06+MAX(0,MIN(K35,50000)-38000)*0.08+MAX(0,MIN(K35,65000)-50000)*0.1+MAX(0,MIN(K35,80000)-65000)*0.12+MAX(0,MIN(K35,95000)-80000)*0.14+MAX(0,MIN(K35,110000)-95000)*0.16+MAX(0,K35-110000)*0.23)</f>
        <v>29967.764305882629</v>
      </c>
      <c r="M35" s="21">
        <f>IF(Assumptions!$C$39="Investment",(K35-I35-L35)*(1-Assumptions!$C$42),K35-I35-L35)</f>
        <v>92568.886036608455</v>
      </c>
      <c r="N35" s="21">
        <f t="shared" si="4"/>
        <v>1227977.6625044805</v>
      </c>
      <c r="O35" s="31">
        <f t="shared" si="5"/>
        <v>5.1128000842591401</v>
      </c>
      <c r="P35" s="21">
        <f>Assumptions!$C$8*(1+Assumptions!$C$9)^A35-Assumptions!$C$8+$C$7*((1+Assumptions!$C$9)^A35-1)</f>
        <v>191584.93208711868</v>
      </c>
      <c r="Q35" s="21">
        <f t="shared" si="6"/>
        <v>7212238.5299675521</v>
      </c>
      <c r="R35" s="21">
        <f>N35/(1+Assumptions!$C$43)^A35</f>
        <v>749399.08590619185</v>
      </c>
      <c r="S35">
        <f>((H35/$C$10)^(1/A35))/(1+Assumptions!$C$43)-1</f>
        <v>6.8041539843744392E-2</v>
      </c>
    </row>
    <row r="37" spans="1:19" x14ac:dyDescent="0.2">
      <c r="A37" s="23" t="s">
        <v>81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9" x14ac:dyDescent="0.2">
      <c r="A38" s="13" t="s">
        <v>82</v>
      </c>
      <c r="E38" s="22">
        <f>H35</f>
        <v>7403823.4620546708</v>
      </c>
      <c r="G38" s="13" t="s">
        <v>83</v>
      </c>
      <c r="I38" s="22">
        <f>G35</f>
        <v>1141556.7957756731</v>
      </c>
    </row>
    <row r="39" spans="1:19" x14ac:dyDescent="0.2">
      <c r="A39" s="13" t="s">
        <v>84</v>
      </c>
      <c r="E39" s="25">
        <f>Q35</f>
        <v>7212238.5299675521</v>
      </c>
      <c r="G39" s="13" t="s">
        <v>85</v>
      </c>
      <c r="I39" s="22">
        <f>P35</f>
        <v>191584.93208711868</v>
      </c>
    </row>
    <row r="40" spans="1:19" x14ac:dyDescent="0.2">
      <c r="A40" s="13" t="s">
        <v>86</v>
      </c>
      <c r="E40" s="32">
        <f>O35</f>
        <v>5.1128000842591401</v>
      </c>
      <c r="G40" s="13" t="s">
        <v>87</v>
      </c>
      <c r="I40" s="33">
        <f>(H35/$C$10)^(1/20)-1</f>
        <v>9.4742578339837902E-2</v>
      </c>
    </row>
    <row r="41" spans="1:19" x14ac:dyDescent="0.2">
      <c r="A41" s="13" t="s">
        <v>88</v>
      </c>
      <c r="E41" s="22">
        <f>N35</f>
        <v>1227977.6625044805</v>
      </c>
      <c r="G41" s="13" t="s">
        <v>89</v>
      </c>
      <c r="I41" s="34" cm="1">
        <f t="array" ref="I41">IFERROR(MATCH(TRUE,INDEX(H16:H35&gt;$C$10,0),0),"Never")</f>
        <v>2</v>
      </c>
    </row>
    <row r="42" spans="1:19" x14ac:dyDescent="0.2">
      <c r="A42" s="96" t="s">
        <v>191</v>
      </c>
      <c r="E42" s="87">
        <f>S35</f>
        <v>6.8041539843744392E-2</v>
      </c>
      <c r="G42" s="96" t="s">
        <v>192</v>
      </c>
      <c r="I42" s="72">
        <f>R35</f>
        <v>749399.08590619185</v>
      </c>
    </row>
    <row r="43" spans="1:19" x14ac:dyDescent="0.2">
      <c r="A43" s="96" t="s">
        <v>193</v>
      </c>
      <c r="E43" s="129">
        <f>Assumptions!$C$43</f>
        <v>2.5000000000000001E-2</v>
      </c>
      <c r="G43" s="13"/>
      <c r="I43" s="3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99FE-CFAB-BF41-8742-3B6FE607AB64}">
  <sheetPr>
    <tabColor rgb="FF8B4513"/>
  </sheetPr>
  <dimension ref="A1:S43"/>
  <sheetViews>
    <sheetView topLeftCell="H1" workbookViewId="0">
      <selection activeCell="K40" sqref="K40"/>
    </sheetView>
  </sheetViews>
  <sheetFormatPr baseColWidth="10" defaultRowHeight="16" x14ac:dyDescent="0.2"/>
  <cols>
    <col min="1" max="17" width="16.6640625" customWidth="1"/>
  </cols>
  <sheetData>
    <row r="1" spans="1:19" ht="19" x14ac:dyDescent="0.25">
      <c r="A1" s="9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spans="1:19" x14ac:dyDescent="0.2">
      <c r="A3" s="23" t="s">
        <v>57</v>
      </c>
      <c r="B3" s="4"/>
      <c r="C3" s="4"/>
    </row>
    <row r="4" spans="1:19" x14ac:dyDescent="0.2">
      <c r="A4" t="s">
        <v>36</v>
      </c>
      <c r="C4" s="21">
        <f>Assumptions!H31</f>
        <v>7000000</v>
      </c>
    </row>
    <row r="5" spans="1:19" x14ac:dyDescent="0.2">
      <c r="A5" t="s">
        <v>58</v>
      </c>
      <c r="C5" s="21">
        <f>Assumptions!C22*Assumptions!H31</f>
        <v>5250000</v>
      </c>
    </row>
    <row r="6" spans="1:19" x14ac:dyDescent="0.2">
      <c r="A6" t="s">
        <v>59</v>
      </c>
      <c r="C6" s="21">
        <f>Assumptions!C23*Assumptions!H31-C7</f>
        <v>1600000</v>
      </c>
    </row>
    <row r="7" spans="1:19" x14ac:dyDescent="0.2">
      <c r="A7" t="s">
        <v>60</v>
      </c>
      <c r="C7" s="21">
        <f>MIN(Assumptions!C24*Assumptions!H31,Assumptions!C8)</f>
        <v>150000</v>
      </c>
    </row>
    <row r="8" spans="1:19" x14ac:dyDescent="0.2">
      <c r="A8" t="s">
        <v>61</v>
      </c>
      <c r="C8" s="21">
        <f>Assumptions!H51</f>
        <v>453200</v>
      </c>
    </row>
    <row r="9" spans="1:19" x14ac:dyDescent="0.2">
      <c r="A9" s="14" t="s">
        <v>62</v>
      </c>
      <c r="C9" s="25">
        <f>C6+C8</f>
        <v>2053200</v>
      </c>
    </row>
    <row r="10" spans="1:19" x14ac:dyDescent="0.2">
      <c r="A10" s="14" t="s">
        <v>63</v>
      </c>
      <c r="C10" s="25">
        <f>C6+C7+C8</f>
        <v>2203200</v>
      </c>
    </row>
    <row r="11" spans="1:19" x14ac:dyDescent="0.2">
      <c r="A11" t="s">
        <v>64</v>
      </c>
      <c r="C11" s="36">
        <f>PMT('Scenario Tables'!H$27/12,Assumptions!C26*12,-C5)</f>
        <v>18552.717160728826</v>
      </c>
    </row>
    <row r="12" spans="1:19" x14ac:dyDescent="0.2">
      <c r="A12" t="s">
        <v>65</v>
      </c>
      <c r="C12" s="21">
        <f>C11*12</f>
        <v>222632.60592874591</v>
      </c>
    </row>
    <row r="14" spans="1:19" ht="51" x14ac:dyDescent="0.2">
      <c r="A14" s="26" t="s">
        <v>66</v>
      </c>
      <c r="B14" s="26" t="s">
        <v>67</v>
      </c>
      <c r="C14" s="28" t="s">
        <v>68</v>
      </c>
      <c r="D14" s="28" t="s">
        <v>69</v>
      </c>
      <c r="E14" s="28" t="s">
        <v>70</v>
      </c>
      <c r="F14" s="28" t="s">
        <v>92</v>
      </c>
      <c r="G14" s="28" t="s">
        <v>72</v>
      </c>
      <c r="H14" s="28" t="s">
        <v>73</v>
      </c>
      <c r="I14" s="28" t="s">
        <v>74</v>
      </c>
      <c r="J14" s="28" t="s">
        <v>75</v>
      </c>
      <c r="K14" s="28" t="s">
        <v>184</v>
      </c>
      <c r="L14" s="28" t="s">
        <v>185</v>
      </c>
      <c r="M14" s="28" t="s">
        <v>186</v>
      </c>
      <c r="N14" s="28" t="s">
        <v>76</v>
      </c>
      <c r="O14" s="28" t="s">
        <v>77</v>
      </c>
      <c r="P14" s="28" t="s">
        <v>78</v>
      </c>
      <c r="Q14" s="28" t="s">
        <v>79</v>
      </c>
      <c r="R14" s="73" t="s">
        <v>189</v>
      </c>
      <c r="S14" s="73" t="s">
        <v>190</v>
      </c>
    </row>
    <row r="15" spans="1:19" x14ac:dyDescent="0.2">
      <c r="A15" s="29">
        <v>0</v>
      </c>
      <c r="B15" s="29">
        <f>Assumptions!C4</f>
        <v>32</v>
      </c>
      <c r="C15" s="29" t="s">
        <v>39</v>
      </c>
      <c r="D15" s="31">
        <v>1</v>
      </c>
      <c r="E15" s="21">
        <f>C4</f>
        <v>7000000</v>
      </c>
      <c r="F15" s="21">
        <f>E15*D15</f>
        <v>7000000</v>
      </c>
      <c r="G15" s="21">
        <f>C5</f>
        <v>5250000</v>
      </c>
      <c r="H15" s="21">
        <f>F15-G15</f>
        <v>1750000</v>
      </c>
      <c r="I15" s="29" t="s">
        <v>80</v>
      </c>
      <c r="J15" s="29" t="s">
        <v>80</v>
      </c>
      <c r="K15" s="29" t="s">
        <v>80</v>
      </c>
      <c r="L15" s="29" t="s">
        <v>80</v>
      </c>
      <c r="M15" s="29" t="s">
        <v>80</v>
      </c>
      <c r="N15" s="29" t="s">
        <v>80</v>
      </c>
      <c r="O15" s="29" t="s">
        <v>80</v>
      </c>
      <c r="P15" s="21">
        <v>0</v>
      </c>
      <c r="Q15" s="21">
        <f>H15-P15</f>
        <v>1750000</v>
      </c>
      <c r="R15" s="124" t="s">
        <v>80</v>
      </c>
      <c r="S15" s="124" t="s">
        <v>80</v>
      </c>
    </row>
    <row r="16" spans="1:19" x14ac:dyDescent="0.2">
      <c r="A16" s="29">
        <f>A15+1</f>
        <v>1</v>
      </c>
      <c r="B16" s="29">
        <f>B15+1</f>
        <v>33</v>
      </c>
      <c r="C16" s="29" t="s">
        <v>39</v>
      </c>
      <c r="D16" s="31">
        <v>1</v>
      </c>
      <c r="E16" s="21">
        <f>E15*(1+Assumptions!$H$34)</f>
        <v>7350000</v>
      </c>
      <c r="F16" s="21">
        <f>E16*D16</f>
        <v>7350000</v>
      </c>
      <c r="G16" s="21">
        <f>IF(A16&lt;=Assumptions!$C$26,PV('Scenario Tables'!H$27/12,(Assumptions!$C$26-A16)*12,-$C$11),0)</f>
        <v>5114056.8787408099</v>
      </c>
      <c r="H16" s="21">
        <f>F16-G16</f>
        <v>2235943.1212591901</v>
      </c>
      <c r="I16" s="21">
        <f>IF(A16&lt;=Assumptions!$C$26,G15*'Scenario Tables'!H$27,0)</f>
        <v>87727.5</v>
      </c>
      <c r="J16" s="21">
        <f>IF(A16&lt;=Assumptions!$C$26,$C$12-I16,0)</f>
        <v>134905.10592874591</v>
      </c>
      <c r="K16" s="21">
        <f>IF(Assumptions!$C$39="Investment",Assumptions!$H$35*12*(1+Assumptions!$H$36)^(A16-1)*(1-Assumptions!$C$40),Assumptions!$H$35*12*(1+Assumptions!$H$36)^(A16-1))</f>
        <v>180000</v>
      </c>
      <c r="L16" s="21">
        <f>IF(Assumptions!$C$39="Investment",_xlfn.LET(_xlpm.gr,Assumptions!$H$35*12*(1+Assumptions!$H$36)^(A16-1),Assumptions!$H$37*(1+Assumptions!$H$36)^(A16-1)+MIN(_xlpm.gr,30000)*0.12+MAX(0,MIN(_xlpm.gr,45000)-30000)*0.2+MAX(0,MIN(_xlpm.gr,60000)-45000)*0.28+MAX(0,_xlpm.gr-60000)*0.36+K16*Assumptions!$C$41),Assumptions!$H$37*(1+Assumptions!$H$36)^(A16-1)+MAX(0,MIN(K16,25000)-12000)*0.04+MAX(0,MIN(K16,38000)-25000)*0.06+MAX(0,MIN(K16,50000)-38000)*0.08+MAX(0,MIN(K16,65000)-50000)*0.1+MAX(0,MIN(K16,80000)-65000)*0.12+MAX(0,MIN(K16,95000)-80000)*0.14+MAX(0,MIN(K16,110000)-95000)*0.16+MAX(0,K16-110000)*0.23)</f>
        <v>44160</v>
      </c>
      <c r="M16" s="21">
        <f>IF(Assumptions!$C$39="Investment",(K16-I16-L16)*(1-Assumptions!$C$42),K16-I16-L16)</f>
        <v>48112.5</v>
      </c>
      <c r="N16" s="21">
        <f>IF(A16=1,M16,N15+M16)</f>
        <v>48112.5</v>
      </c>
      <c r="O16" s="31">
        <f>(H16-$C$10)/$C$10</f>
        <v>1.4861620034127696E-2</v>
      </c>
      <c r="P16" s="21">
        <f>Assumptions!$C$8*(1+Assumptions!$C$9)^A16-Assumptions!$C$8+$C$7*((1+Assumptions!$C$9)^A16-1)</f>
        <v>7499.9999999999873</v>
      </c>
      <c r="Q16" s="21">
        <f>H16-P16</f>
        <v>2228443.1212591901</v>
      </c>
      <c r="R16" s="21">
        <f>N16/(1+Assumptions!$C$43)^A16</f>
        <v>46939.024390243903</v>
      </c>
      <c r="S16">
        <f>((H16/$C$10)^(1/A16))/(1+Assumptions!$C$43)-1</f>
        <v>-9.8911024057291019E-3</v>
      </c>
    </row>
    <row r="17" spans="1:19" x14ac:dyDescent="0.2">
      <c r="A17" s="29">
        <f t="shared" ref="A17:B35" si="0">A16+1</f>
        <v>2</v>
      </c>
      <c r="B17" s="29">
        <f t="shared" si="0"/>
        <v>34</v>
      </c>
      <c r="C17" s="29" t="s">
        <v>39</v>
      </c>
      <c r="D17" s="31">
        <v>1</v>
      </c>
      <c r="E17" s="21">
        <f>E16*(1+Assumptions!$H$34)</f>
        <v>7717500</v>
      </c>
      <c r="F17" s="21">
        <f t="shared" ref="F17:F35" si="1">E17*D17</f>
        <v>7717500</v>
      </c>
      <c r="G17" s="21">
        <f>IF(A17&lt;=Assumptions!$C$26,PV('Scenario Tables'!H$27/12,(Assumptions!$C$26-A17)*12,-$C$11),0)</f>
        <v>4975824.669228117</v>
      </c>
      <c r="H17" s="21">
        <f t="shared" ref="H17:H35" si="2">F17-G17</f>
        <v>2741675.330771883</v>
      </c>
      <c r="I17" s="21">
        <f>IF(A17&lt;=Assumptions!$C$26,G16*'Scenario Tables'!H$27,0)</f>
        <v>85455.890443758923</v>
      </c>
      <c r="J17" s="21">
        <f>IF(A17&lt;=Assumptions!$C$26,$C$12-I17,0)</f>
        <v>137176.71548498698</v>
      </c>
      <c r="K17" s="21">
        <f>IF(Assumptions!$C$39="Investment",Assumptions!$H$35*12*(1+Assumptions!$H$36)^(A17-1)*(1-Assumptions!$C$40),Assumptions!$H$35*12*(1+Assumptions!$H$36)^(A17-1))</f>
        <v>183600</v>
      </c>
      <c r="L17" s="21">
        <f>IF(Assumptions!$C$39="Investment",_xlfn.LET(_xlpm.gr,Assumptions!$H$35*12*(1+Assumptions!$H$36)^(A17-1),Assumptions!$H$37*(1+Assumptions!$H$36)^(A17-1)+MIN(_xlpm.gr,30000)*0.12+MAX(0,MIN(_xlpm.gr,45000)-30000)*0.2+MAX(0,MIN(_xlpm.gr,60000)-45000)*0.28+MAX(0,_xlpm.gr-60000)*0.36+K17*Assumptions!$C$41),Assumptions!$H$37*(1+Assumptions!$H$36)^(A17-1)+MAX(0,MIN(K17,25000)-12000)*0.04+MAX(0,MIN(K17,38000)-25000)*0.06+MAX(0,MIN(K17,50000)-38000)*0.08+MAX(0,MIN(K17,65000)-50000)*0.1+MAX(0,MIN(K17,80000)-65000)*0.12+MAX(0,MIN(K17,95000)-80000)*0.14+MAX(0,MIN(K17,110000)-95000)*0.16+MAX(0,K17-110000)*0.23)</f>
        <v>45348</v>
      </c>
      <c r="M17" s="21">
        <f>IF(Assumptions!$C$39="Investment",(K17-I17-L17)*(1-Assumptions!$C$42),K17-I17-L17)</f>
        <v>52796.109556241077</v>
      </c>
      <c r="N17" s="21">
        <f t="shared" ref="N17:N35" si="3">IF(A17=1,M17,N16+M17)</f>
        <v>100908.60955624108</v>
      </c>
      <c r="O17" s="31">
        <f t="shared" ref="O17:O35" si="4">(H17-$C$10)/$C$10</f>
        <v>0.24440601433001227</v>
      </c>
      <c r="P17" s="21">
        <f>Assumptions!$C$8*(1+Assumptions!$C$9)^A17-Assumptions!$C$8+$C$7*((1+Assumptions!$C$9)^A17-1)</f>
        <v>15187.499999999989</v>
      </c>
      <c r="Q17" s="21">
        <f t="shared" ref="Q17:Q35" si="5">H17-P17</f>
        <v>2726487.830771883</v>
      </c>
      <c r="R17" s="21">
        <f>N17/(1+Assumptions!$C$43)^A17</f>
        <v>96046.267275422812</v>
      </c>
      <c r="S17">
        <f>((H17/$C$10)^(1/A17))/(1+Assumptions!$C$43)-1</f>
        <v>8.8321441095478015E-2</v>
      </c>
    </row>
    <row r="18" spans="1:19" x14ac:dyDescent="0.2">
      <c r="A18" s="29">
        <f t="shared" si="0"/>
        <v>3</v>
      </c>
      <c r="B18" s="29">
        <f t="shared" si="0"/>
        <v>35</v>
      </c>
      <c r="C18" s="29" t="s">
        <v>39</v>
      </c>
      <c r="D18" s="31">
        <v>1</v>
      </c>
      <c r="E18" s="21">
        <f>E17*(1+Assumptions!$H$34)</f>
        <v>8103375</v>
      </c>
      <c r="F18" s="21">
        <f t="shared" si="1"/>
        <v>8103375</v>
      </c>
      <c r="G18" s="21">
        <f>IF(A18&lt;=Assumptions!$C$26,PV('Scenario Tables'!H$27/12,(Assumptions!$C$26-A18)*12,-$C$11),0)</f>
        <v>4835264.8264805926</v>
      </c>
      <c r="H18" s="21">
        <f t="shared" si="2"/>
        <v>3268110.1735194074</v>
      </c>
      <c r="I18" s="21">
        <f>IF(A18&lt;=Assumptions!$C$26,G17*'Scenario Tables'!H$27,0)</f>
        <v>83146.030222801826</v>
      </c>
      <c r="J18" s="21">
        <f>IF(A18&lt;=Assumptions!$C$26,$C$12-I18,0)</f>
        <v>139486.57570594409</v>
      </c>
      <c r="K18" s="21">
        <f>IF(Assumptions!$C$39="Investment",Assumptions!$H$35*12*(1+Assumptions!$H$36)^(A18-1)*(1-Assumptions!$C$40),Assumptions!$H$35*12*(1+Assumptions!$H$36)^(A18-1))</f>
        <v>187272</v>
      </c>
      <c r="L18" s="21">
        <f>IF(Assumptions!$C$39="Investment",_xlfn.LET(_xlpm.gr,Assumptions!$H$35*12*(1+Assumptions!$H$36)^(A18-1),Assumptions!$H$37*(1+Assumptions!$H$36)^(A18-1)+MIN(_xlpm.gr,30000)*0.12+MAX(0,MIN(_xlpm.gr,45000)-30000)*0.2+MAX(0,MIN(_xlpm.gr,60000)-45000)*0.28+MAX(0,_xlpm.gr-60000)*0.36+K18*Assumptions!$C$41),Assumptions!$H$37*(1+Assumptions!$H$36)^(A18-1)+MAX(0,MIN(K18,25000)-12000)*0.04+MAX(0,MIN(K18,38000)-25000)*0.06+MAX(0,MIN(K18,50000)-38000)*0.08+MAX(0,MIN(K18,65000)-50000)*0.1+MAX(0,MIN(K18,80000)-65000)*0.12+MAX(0,MIN(K18,95000)-80000)*0.14+MAX(0,MIN(K18,110000)-95000)*0.16+MAX(0,K18-110000)*0.23)</f>
        <v>46559.76</v>
      </c>
      <c r="M18" s="21">
        <f>IF(Assumptions!$C$39="Investment",(K18-I18-L18)*(1-Assumptions!$C$42),K18-I18-L18)</f>
        <v>57566.209777198172</v>
      </c>
      <c r="N18" s="21">
        <f t="shared" si="3"/>
        <v>158474.81933343926</v>
      </c>
      <c r="O18" s="31">
        <f t="shared" si="4"/>
        <v>0.4833470286489685</v>
      </c>
      <c r="P18" s="21">
        <f>Assumptions!$C$8*(1+Assumptions!$C$9)^A18-Assumptions!$C$8+$C$7*((1+Assumptions!$C$9)^A18-1)</f>
        <v>23067.187499999953</v>
      </c>
      <c r="Q18" s="21">
        <f t="shared" si="5"/>
        <v>3245042.9860194074</v>
      </c>
      <c r="R18" s="21">
        <f>N18/(1+Assumptions!$C$43)^A18</f>
        <v>147159.6238786453</v>
      </c>
      <c r="S18">
        <f>((H18/$C$10)^(1/A18))/(1+Assumptions!$C$43)-1</f>
        <v>0.11264611693371207</v>
      </c>
    </row>
    <row r="19" spans="1:19" x14ac:dyDescent="0.2">
      <c r="A19" s="29">
        <f t="shared" si="0"/>
        <v>4</v>
      </c>
      <c r="B19" s="29">
        <f t="shared" si="0"/>
        <v>36</v>
      </c>
      <c r="C19" s="29" t="s">
        <v>39</v>
      </c>
      <c r="D19" s="31">
        <v>1</v>
      </c>
      <c r="E19" s="21">
        <f>E18*(1+Assumptions!$H$34)</f>
        <v>8508543.75</v>
      </c>
      <c r="F19" s="21">
        <f t="shared" si="1"/>
        <v>8508543.75</v>
      </c>
      <c r="G19" s="21">
        <f>IF(A19&lt;=Assumptions!$C$26,PV('Scenario Tables'!H$27/12,(Assumptions!$C$26-A19)*12,-$C$11),0)</f>
        <v>4692338.156474676</v>
      </c>
      <c r="H19" s="21">
        <f t="shared" si="2"/>
        <v>3816205.593525324</v>
      </c>
      <c r="I19" s="21">
        <f>IF(A19&lt;=Assumptions!$C$26,G18*'Scenario Tables'!H$27,0)</f>
        <v>80797.275250490697</v>
      </c>
      <c r="J19" s="21">
        <f>IF(A19&lt;=Assumptions!$C$26,$C$12-I19,0)</f>
        <v>141835.33067825521</v>
      </c>
      <c r="K19" s="21">
        <f>IF(Assumptions!$C$39="Investment",Assumptions!$H$35*12*(1+Assumptions!$H$36)^(A19-1)*(1-Assumptions!$C$40),Assumptions!$H$35*12*(1+Assumptions!$H$36)^(A19-1))</f>
        <v>191017.43999999997</v>
      </c>
      <c r="L19" s="21">
        <f>IF(Assumptions!$C$39="Investment",_xlfn.LET(_xlpm.gr,Assumptions!$H$35*12*(1+Assumptions!$H$36)^(A19-1),Assumptions!$H$37*(1+Assumptions!$H$36)^(A19-1)+MIN(_xlpm.gr,30000)*0.12+MAX(0,MIN(_xlpm.gr,45000)-30000)*0.2+MAX(0,MIN(_xlpm.gr,60000)-45000)*0.28+MAX(0,_xlpm.gr-60000)*0.36+K19*Assumptions!$C$41),Assumptions!$H$37*(1+Assumptions!$H$36)^(A19-1)+MAX(0,MIN(K19,25000)-12000)*0.04+MAX(0,MIN(K19,38000)-25000)*0.06+MAX(0,MIN(K19,50000)-38000)*0.08+MAX(0,MIN(K19,65000)-50000)*0.1+MAX(0,MIN(K19,80000)-65000)*0.12+MAX(0,MIN(K19,95000)-80000)*0.14+MAX(0,MIN(K19,110000)-95000)*0.16+MAX(0,K19-110000)*0.23)</f>
        <v>47795.755199999992</v>
      </c>
      <c r="M19" s="21">
        <f>IF(Assumptions!$C$39="Investment",(K19-I19-L19)*(1-Assumptions!$C$42),K19-I19-L19)</f>
        <v>62424.409549509284</v>
      </c>
      <c r="N19" s="21">
        <f t="shared" si="3"/>
        <v>220899.22888294855</v>
      </c>
      <c r="O19" s="31">
        <f t="shared" si="4"/>
        <v>0.73211945966109482</v>
      </c>
      <c r="P19" s="21">
        <f>Assumptions!$C$8*(1+Assumptions!$C$9)^A19-Assumptions!$C$8+$C$7*((1+Assumptions!$C$9)^A19-1)</f>
        <v>31143.867187499935</v>
      </c>
      <c r="Q19" s="21">
        <f t="shared" si="5"/>
        <v>3785061.726337824</v>
      </c>
      <c r="R19" s="21">
        <f>N19/(1+Assumptions!$C$43)^A19</f>
        <v>200123.79884227589</v>
      </c>
      <c r="S19">
        <f>((H19/$C$10)^(1/A19))/(1+Assumptions!$C$43)-1</f>
        <v>0.11923322730686858</v>
      </c>
    </row>
    <row r="20" spans="1:19" x14ac:dyDescent="0.2">
      <c r="A20" s="29">
        <f t="shared" si="0"/>
        <v>5</v>
      </c>
      <c r="B20" s="29">
        <f t="shared" si="0"/>
        <v>37</v>
      </c>
      <c r="C20" s="29" t="s">
        <v>39</v>
      </c>
      <c r="D20" s="31">
        <v>1</v>
      </c>
      <c r="E20" s="21">
        <f>E19*(1+Assumptions!$H$34)</f>
        <v>8933970.9375</v>
      </c>
      <c r="F20" s="21">
        <f t="shared" si="1"/>
        <v>8933970.9375</v>
      </c>
      <c r="G20" s="21">
        <f>IF(A20&lt;=Assumptions!$C$26,PV('Scenario Tables'!H$27/12,(Assumptions!$C$26-A20)*12,-$C$11),0)</f>
        <v>4547004.8052153587</v>
      </c>
      <c r="H20" s="21">
        <f t="shared" si="2"/>
        <v>4386966.1322846413</v>
      </c>
      <c r="I20" s="21">
        <f>IF(A20&lt;=Assumptions!$C$26,G19*'Scenario Tables'!H$27,0)</f>
        <v>78408.970594691826</v>
      </c>
      <c r="J20" s="21">
        <f>IF(A20&lt;=Assumptions!$C$26,$C$12-I20,0)</f>
        <v>144223.63533405407</v>
      </c>
      <c r="K20" s="21">
        <f>IF(Assumptions!$C$39="Investment",Assumptions!$H$35*12*(1+Assumptions!$H$36)^(A20-1)*(1-Assumptions!$C$40),Assumptions!$H$35*12*(1+Assumptions!$H$36)^(A20-1))</f>
        <v>194837.78880000001</v>
      </c>
      <c r="L20" s="21">
        <f>IF(Assumptions!$C$39="Investment",_xlfn.LET(_xlpm.gr,Assumptions!$H$35*12*(1+Assumptions!$H$36)^(A20-1),Assumptions!$H$37*(1+Assumptions!$H$36)^(A20-1)+MIN(_xlpm.gr,30000)*0.12+MAX(0,MIN(_xlpm.gr,45000)-30000)*0.2+MAX(0,MIN(_xlpm.gr,60000)-45000)*0.28+MAX(0,_xlpm.gr-60000)*0.36+K20*Assumptions!$C$41),Assumptions!$H$37*(1+Assumptions!$H$36)^(A20-1)+MAX(0,MIN(K20,25000)-12000)*0.04+MAX(0,MIN(K20,38000)-25000)*0.06+MAX(0,MIN(K20,50000)-38000)*0.08+MAX(0,MIN(K20,65000)-50000)*0.1+MAX(0,MIN(K20,80000)-65000)*0.12+MAX(0,MIN(K20,95000)-80000)*0.14+MAX(0,MIN(K20,110000)-95000)*0.16+MAX(0,K20-110000)*0.23)</f>
        <v>49056.470304000002</v>
      </c>
      <c r="M20" s="21">
        <f>IF(Assumptions!$C$39="Investment",(K20-I20-L20)*(1-Assumptions!$C$42),K20-I20-L20)</f>
        <v>67372.347901308181</v>
      </c>
      <c r="N20" s="21">
        <f t="shared" si="3"/>
        <v>288271.57678425673</v>
      </c>
      <c r="O20" s="31">
        <f t="shared" si="4"/>
        <v>0.9911792539418306</v>
      </c>
      <c r="P20" s="21">
        <f>Assumptions!$C$8*(1+Assumptions!$C$9)^A20-Assumptions!$C$8+$C$7*((1+Assumptions!$C$9)^A20-1)</f>
        <v>39422.463867187391</v>
      </c>
      <c r="Q20" s="21">
        <f t="shared" si="5"/>
        <v>4347543.6684174538</v>
      </c>
      <c r="R20" s="21">
        <f>N20/(1+Assumptions!$C$43)^A20</f>
        <v>254790.06913672146</v>
      </c>
      <c r="S20">
        <f>((H20/$C$10)^(1/A20))/(1+Assumptions!$C$43)-1</f>
        <v>0.11969104887918602</v>
      </c>
    </row>
    <row r="21" spans="1:19" x14ac:dyDescent="0.2">
      <c r="A21" s="29">
        <f t="shared" si="0"/>
        <v>6</v>
      </c>
      <c r="B21" s="29">
        <f t="shared" si="0"/>
        <v>38</v>
      </c>
      <c r="C21" s="29" t="s">
        <v>39</v>
      </c>
      <c r="D21" s="31">
        <v>1</v>
      </c>
      <c r="E21" s="21">
        <f>E20*(1+Assumptions!$H$34)</f>
        <v>9380669.484375</v>
      </c>
      <c r="F21" s="21">
        <f t="shared" si="1"/>
        <v>9380669.484375</v>
      </c>
      <c r="G21" s="21">
        <f>IF(A21&lt;=Assumptions!$C$26,PV('Scenario Tables'!H$27/12,(Assumptions!$C$26-A21)*12,-$C$11),0)</f>
        <v>4399224.2476232061</v>
      </c>
      <c r="H21" s="21">
        <f t="shared" si="2"/>
        <v>4981445.2367517939</v>
      </c>
      <c r="I21" s="21">
        <f>IF(A21&lt;=Assumptions!$C$26,G20*'Scenario Tables'!H$27,0)</f>
        <v>75980.450295148636</v>
      </c>
      <c r="J21" s="21">
        <f>IF(A21&lt;=Assumptions!$C$26,$C$12-I21,0)</f>
        <v>146652.15563359729</v>
      </c>
      <c r="K21" s="21">
        <f>IF(Assumptions!$C$39="Investment",Assumptions!$H$35*12*(1+Assumptions!$H$36)^(A21-1)*(1-Assumptions!$C$40),Assumptions!$H$35*12*(1+Assumptions!$H$36)^(A21-1))</f>
        <v>198734.54457600001</v>
      </c>
      <c r="L21" s="21">
        <f>IF(Assumptions!$C$39="Investment",_xlfn.LET(_xlpm.gr,Assumptions!$H$35*12*(1+Assumptions!$H$36)^(A21-1),Assumptions!$H$37*(1+Assumptions!$H$36)^(A21-1)+MIN(_xlpm.gr,30000)*0.12+MAX(0,MIN(_xlpm.gr,45000)-30000)*0.2+MAX(0,MIN(_xlpm.gr,60000)-45000)*0.28+MAX(0,_xlpm.gr-60000)*0.36+K21*Assumptions!$C$41),Assumptions!$H$37*(1+Assumptions!$H$36)^(A21-1)+MAX(0,MIN(K21,25000)-12000)*0.04+MAX(0,MIN(K21,38000)-25000)*0.06+MAX(0,MIN(K21,50000)-38000)*0.08+MAX(0,MIN(K21,65000)-50000)*0.1+MAX(0,MIN(K21,80000)-65000)*0.12+MAX(0,MIN(K21,95000)-80000)*0.14+MAX(0,MIN(K21,110000)-95000)*0.16+MAX(0,K21-110000)*0.23)</f>
        <v>50342.399710080004</v>
      </c>
      <c r="M21" s="21">
        <f>IF(Assumptions!$C$39="Investment",(K21-I21-L21)*(1-Assumptions!$C$42),K21-I21-L21)</f>
        <v>72411.694570771375</v>
      </c>
      <c r="N21" s="21">
        <f t="shared" si="3"/>
        <v>360683.27135502809</v>
      </c>
      <c r="O21" s="31">
        <f t="shared" si="4"/>
        <v>1.2610045555336755</v>
      </c>
      <c r="P21" s="21">
        <f>Assumptions!$C$8*(1+Assumptions!$C$9)^A21-Assumptions!$C$8+$C$7*((1+Assumptions!$C$9)^A21-1)</f>
        <v>47908.025463867059</v>
      </c>
      <c r="Q21" s="21">
        <f t="shared" si="5"/>
        <v>4933537.2112879269</v>
      </c>
      <c r="R21" s="21">
        <f>N21/(1+Assumptions!$C$43)^A21</f>
        <v>311016.05449382297</v>
      </c>
      <c r="S21">
        <f>((H21/$C$10)^(1/A21))/(1+Assumptions!$C$43)-1</f>
        <v>0.11770289077204166</v>
      </c>
    </row>
    <row r="22" spans="1:19" x14ac:dyDescent="0.2">
      <c r="A22" s="29">
        <f t="shared" si="0"/>
        <v>7</v>
      </c>
      <c r="B22" s="29">
        <f t="shared" si="0"/>
        <v>39</v>
      </c>
      <c r="C22" s="29" t="s">
        <v>39</v>
      </c>
      <c r="D22" s="31">
        <v>1</v>
      </c>
      <c r="E22" s="21">
        <f>E21*(1+Assumptions!$H$34)</f>
        <v>9849702.9585937504</v>
      </c>
      <c r="F22" s="21">
        <f t="shared" si="1"/>
        <v>9849702.9585937504</v>
      </c>
      <c r="G22" s="21">
        <f>IF(A22&lt;=Assumptions!$C$26,PV('Scenario Tables'!H$27/12,(Assumptions!$C$26-A22)*12,-$C$11),0)</f>
        <v>4248955.2762342552</v>
      </c>
      <c r="H22" s="21">
        <f t="shared" si="2"/>
        <v>5600747.6823594952</v>
      </c>
      <c r="I22" s="21">
        <f>IF(A22&lt;=Assumptions!$C$26,G21*'Scenario Tables'!H$27,0)</f>
        <v>73511.037177783772</v>
      </c>
      <c r="J22" s="21">
        <f>IF(A22&lt;=Assumptions!$C$26,$C$12-I22,0)</f>
        <v>149121.56875096215</v>
      </c>
      <c r="K22" s="21">
        <f>IF(Assumptions!$C$39="Investment",Assumptions!$H$35*12*(1+Assumptions!$H$36)^(A22-1)*(1-Assumptions!$C$40),Assumptions!$H$35*12*(1+Assumptions!$H$36)^(A22-1))</f>
        <v>202709.23546752002</v>
      </c>
      <c r="L22" s="21">
        <f>IF(Assumptions!$C$39="Investment",_xlfn.LET(_xlpm.gr,Assumptions!$H$35*12*(1+Assumptions!$H$36)^(A22-1),Assumptions!$H$37*(1+Assumptions!$H$36)^(A22-1)+MIN(_xlpm.gr,30000)*0.12+MAX(0,MIN(_xlpm.gr,45000)-30000)*0.2+MAX(0,MIN(_xlpm.gr,60000)-45000)*0.28+MAX(0,_xlpm.gr-60000)*0.36+K22*Assumptions!$C$41),Assumptions!$H$37*(1+Assumptions!$H$36)^(A22-1)+MAX(0,MIN(K22,25000)-12000)*0.04+MAX(0,MIN(K22,38000)-25000)*0.06+MAX(0,MIN(K22,50000)-38000)*0.08+MAX(0,MIN(K22,65000)-50000)*0.1+MAX(0,MIN(K22,80000)-65000)*0.12+MAX(0,MIN(K22,95000)-80000)*0.14+MAX(0,MIN(K22,110000)-95000)*0.16+MAX(0,K22-110000)*0.23)</f>
        <v>51654.047704281606</v>
      </c>
      <c r="M22" s="21">
        <f>IF(Assumptions!$C$39="Investment",(K22-I22-L22)*(1-Assumptions!$C$42),K22-I22-L22)</f>
        <v>77544.150585454641</v>
      </c>
      <c r="N22" s="21">
        <f t="shared" si="3"/>
        <v>438227.42194048275</v>
      </c>
      <c r="O22" s="31">
        <f t="shared" si="4"/>
        <v>1.5420968057187252</v>
      </c>
      <c r="P22" s="21">
        <f>Assumptions!$C$8*(1+Assumptions!$C$9)^A22-Assumptions!$C$8+$C$7*((1+Assumptions!$C$9)^A22-1)</f>
        <v>56605.726100463755</v>
      </c>
      <c r="Q22" s="21">
        <f t="shared" si="5"/>
        <v>5544141.9562590318</v>
      </c>
      <c r="R22" s="21">
        <f>N22/(1+Assumptions!$C$43)^A22</f>
        <v>368665.49513876089</v>
      </c>
      <c r="S22">
        <f>((H22/$C$10)^(1/A22))/(1+Assumptions!$C$43)-1</f>
        <v>0.1147069738265738</v>
      </c>
    </row>
    <row r="23" spans="1:19" x14ac:dyDescent="0.2">
      <c r="A23" s="29">
        <f t="shared" si="0"/>
        <v>8</v>
      </c>
      <c r="B23" s="29">
        <f t="shared" si="0"/>
        <v>40</v>
      </c>
      <c r="C23" s="29" t="s">
        <v>39</v>
      </c>
      <c r="D23" s="31">
        <v>1</v>
      </c>
      <c r="E23" s="21">
        <f>E22*(1+Assumptions!$H$34)</f>
        <v>10342188.106523437</v>
      </c>
      <c r="F23" s="21">
        <f t="shared" si="1"/>
        <v>10342188.106523437</v>
      </c>
      <c r="G23" s="21">
        <f>IF(A23&lt;=Assumptions!$C$26,PV('Scenario Tables'!H$27/12,(Assumptions!$C$26-A23)*12,-$C$11),0)</f>
        <v>4096155.9897096134</v>
      </c>
      <c r="H23" s="21">
        <f t="shared" si="2"/>
        <v>6246032.1168138236</v>
      </c>
      <c r="I23" s="21">
        <f>IF(A23&lt;=Assumptions!$C$26,G22*'Scenario Tables'!H$27,0)</f>
        <v>71000.042665874396</v>
      </c>
      <c r="J23" s="21">
        <f>IF(A23&lt;=Assumptions!$C$26,$C$12-I23,0)</f>
        <v>151632.56326287152</v>
      </c>
      <c r="K23" s="21">
        <f>IF(Assumptions!$C$39="Investment",Assumptions!$H$35*12*(1+Assumptions!$H$36)^(A23-1)*(1-Assumptions!$C$40),Assumptions!$H$35*12*(1+Assumptions!$H$36)^(A23-1))</f>
        <v>206763.42017687036</v>
      </c>
      <c r="L23" s="21">
        <f>IF(Assumptions!$C$39="Investment",_xlfn.LET(_xlpm.gr,Assumptions!$H$35*12*(1+Assumptions!$H$36)^(A23-1),Assumptions!$H$37*(1+Assumptions!$H$36)^(A23-1)+MIN(_xlpm.gr,30000)*0.12+MAX(0,MIN(_xlpm.gr,45000)-30000)*0.2+MAX(0,MIN(_xlpm.gr,60000)-45000)*0.28+MAX(0,_xlpm.gr-60000)*0.36+K23*Assumptions!$C$41),Assumptions!$H$37*(1+Assumptions!$H$36)^(A23-1)+MAX(0,MIN(K23,25000)-12000)*0.04+MAX(0,MIN(K23,38000)-25000)*0.06+MAX(0,MIN(K23,50000)-38000)*0.08+MAX(0,MIN(K23,65000)-50000)*0.1+MAX(0,MIN(K23,80000)-65000)*0.12+MAX(0,MIN(K23,95000)-80000)*0.14+MAX(0,MIN(K23,110000)-95000)*0.16+MAX(0,K23-110000)*0.23)</f>
        <v>52991.928658367222</v>
      </c>
      <c r="M23" s="21">
        <f>IF(Assumptions!$C$39="Investment",(K23-I23-L23)*(1-Assumptions!$C$42),K23-I23-L23)</f>
        <v>82771.448852628731</v>
      </c>
      <c r="N23" s="21">
        <f t="shared" si="3"/>
        <v>520998.87079311151</v>
      </c>
      <c r="O23" s="31">
        <f t="shared" si="4"/>
        <v>1.83498189760976</v>
      </c>
      <c r="P23" s="21">
        <f>Assumptions!$C$8*(1+Assumptions!$C$9)^A23-Assumptions!$C$8+$C$7*((1+Assumptions!$C$9)^A23-1)</f>
        <v>65520.869252975317</v>
      </c>
      <c r="Q23" s="21">
        <f t="shared" si="5"/>
        <v>6180511.2475608485</v>
      </c>
      <c r="R23" s="21">
        <f>N23/(1+Assumptions!$C$43)^A23</f>
        <v>427608.03660093941</v>
      </c>
      <c r="S23">
        <f>((H23/$C$10)^(1/A23))/(1+Assumptions!$C$43)-1</f>
        <v>0.11133481777415066</v>
      </c>
    </row>
    <row r="24" spans="1:19" x14ac:dyDescent="0.2">
      <c r="A24" s="29">
        <f t="shared" si="0"/>
        <v>9</v>
      </c>
      <c r="B24" s="29">
        <f t="shared" si="0"/>
        <v>41</v>
      </c>
      <c r="C24" s="29" t="s">
        <v>39</v>
      </c>
      <c r="D24" s="31">
        <v>1</v>
      </c>
      <c r="E24" s="21">
        <f>E23*(1+Assumptions!$H$34)</f>
        <v>10859297.51184961</v>
      </c>
      <c r="F24" s="21">
        <f t="shared" si="1"/>
        <v>10859297.51184961</v>
      </c>
      <c r="G24" s="21">
        <f>IF(A24&lt;=Assumptions!$C$26,PV('Scenario Tables'!H$27/12,(Assumptions!$C$26-A24)*12,-$C$11),0)</f>
        <v>3940783.7811516235</v>
      </c>
      <c r="H24" s="21">
        <f t="shared" si="2"/>
        <v>6918513.7306979867</v>
      </c>
      <c r="I24" s="21">
        <f>IF(A24&lt;=Assumptions!$C$26,G23*'Scenario Tables'!H$27,0)</f>
        <v>68446.766588047642</v>
      </c>
      <c r="J24" s="21">
        <f>IF(A24&lt;=Assumptions!$C$26,$C$12-I24,0)</f>
        <v>154185.83934069827</v>
      </c>
      <c r="K24" s="21">
        <f>IF(Assumptions!$C$39="Investment",Assumptions!$H$35*12*(1+Assumptions!$H$36)^(A24-1)*(1-Assumptions!$C$40),Assumptions!$H$35*12*(1+Assumptions!$H$36)^(A24-1))</f>
        <v>210898.68858040779</v>
      </c>
      <c r="L24" s="21">
        <f>IF(Assumptions!$C$39="Investment",_xlfn.LET(_xlpm.gr,Assumptions!$H$35*12*(1+Assumptions!$H$36)^(A24-1),Assumptions!$H$37*(1+Assumptions!$H$36)^(A24-1)+MIN(_xlpm.gr,30000)*0.12+MAX(0,MIN(_xlpm.gr,45000)-30000)*0.2+MAX(0,MIN(_xlpm.gr,60000)-45000)*0.28+MAX(0,_xlpm.gr-60000)*0.36+K24*Assumptions!$C$41),Assumptions!$H$37*(1+Assumptions!$H$36)^(A24-1)+MAX(0,MIN(K24,25000)-12000)*0.04+MAX(0,MIN(K24,38000)-25000)*0.06+MAX(0,MIN(K24,50000)-38000)*0.08+MAX(0,MIN(K24,65000)-50000)*0.1+MAX(0,MIN(K24,80000)-65000)*0.12+MAX(0,MIN(K24,95000)-80000)*0.14+MAX(0,MIN(K24,110000)-95000)*0.16+MAX(0,K24-110000)*0.23)</f>
        <v>54356.567231534573</v>
      </c>
      <c r="M24" s="21">
        <f>IF(Assumptions!$C$39="Investment",(K24-I24-L24)*(1-Assumptions!$C$42),K24-I24-L24)</f>
        <v>88095.354760825576</v>
      </c>
      <c r="N24" s="21">
        <f t="shared" si="3"/>
        <v>609094.22555393702</v>
      </c>
      <c r="O24" s="31">
        <f t="shared" si="4"/>
        <v>2.1402113882979243</v>
      </c>
      <c r="P24" s="21">
        <f>Assumptions!$C$8*(1+Assumptions!$C$9)^A24-Assumptions!$C$8+$C$7*((1+Assumptions!$C$9)^A24-1)</f>
        <v>74658.890984299651</v>
      </c>
      <c r="Q24" s="21">
        <f t="shared" si="5"/>
        <v>6843854.8397136871</v>
      </c>
      <c r="R24" s="21">
        <f>N24/(1+Assumptions!$C$43)^A24</f>
        <v>487719.02139068273</v>
      </c>
      <c r="S24">
        <f>((H24/$C$10)^(1/A24))/(1+Assumptions!$C$43)-1</f>
        <v>0.10788271954811779</v>
      </c>
    </row>
    <row r="25" spans="1:19" x14ac:dyDescent="0.2">
      <c r="A25" s="29">
        <f t="shared" si="0"/>
        <v>10</v>
      </c>
      <c r="B25" s="29">
        <f t="shared" si="0"/>
        <v>42</v>
      </c>
      <c r="C25" s="29" t="s">
        <v>39</v>
      </c>
      <c r="D25" s="31">
        <v>1</v>
      </c>
      <c r="E25" s="21">
        <f>E24*(1+Assumptions!$H$34)</f>
        <v>11402262.387442091</v>
      </c>
      <c r="F25" s="21">
        <f t="shared" si="1"/>
        <v>11402262.387442091</v>
      </c>
      <c r="G25" s="21">
        <f>IF(A25&lt;=Assumptions!$C$26,PV('Scenario Tables'!H$27/12,(Assumptions!$C$26-A25)*12,-$C$11),0)</f>
        <v>3782795.326223236</v>
      </c>
      <c r="H25" s="21">
        <f t="shared" si="2"/>
        <v>7619467.0612188559</v>
      </c>
      <c r="I25" s="21">
        <f>IF(A25&lt;=Assumptions!$C$26,G24*'Scenario Tables'!H$27,0)</f>
        <v>65850.496983043631</v>
      </c>
      <c r="J25" s="21">
        <f>IF(A25&lt;=Assumptions!$C$26,$C$12-I25,0)</f>
        <v>156782.10894570226</v>
      </c>
      <c r="K25" s="21">
        <f>IF(Assumptions!$C$39="Investment",Assumptions!$H$35*12*(1+Assumptions!$H$36)^(A25-1)*(1-Assumptions!$C$40),Assumptions!$H$35*12*(1+Assumptions!$H$36)^(A25-1))</f>
        <v>215116.66235201596</v>
      </c>
      <c r="L25" s="21">
        <f>IF(Assumptions!$C$39="Investment",_xlfn.LET(_xlpm.gr,Assumptions!$H$35*12*(1+Assumptions!$H$36)^(A25-1),Assumptions!$H$37*(1+Assumptions!$H$36)^(A25-1)+MIN(_xlpm.gr,30000)*0.12+MAX(0,MIN(_xlpm.gr,45000)-30000)*0.2+MAX(0,MIN(_xlpm.gr,60000)-45000)*0.28+MAX(0,_xlpm.gr-60000)*0.36+K25*Assumptions!$C$41),Assumptions!$H$37*(1+Assumptions!$H$36)^(A25-1)+MAX(0,MIN(K25,25000)-12000)*0.04+MAX(0,MIN(K25,38000)-25000)*0.06+MAX(0,MIN(K25,50000)-38000)*0.08+MAX(0,MIN(K25,65000)-50000)*0.1+MAX(0,MIN(K25,80000)-65000)*0.12+MAX(0,MIN(K25,95000)-80000)*0.14+MAX(0,MIN(K25,110000)-95000)*0.16+MAX(0,K25-110000)*0.23)</f>
        <v>55748.498576165264</v>
      </c>
      <c r="M25" s="21">
        <f>IF(Assumptions!$C$39="Investment",(K25-I25-L25)*(1-Assumptions!$C$42),K25-I25-L25)</f>
        <v>93517.666792807082</v>
      </c>
      <c r="N25" s="21">
        <f t="shared" si="3"/>
        <v>702611.89234674408</v>
      </c>
      <c r="O25" s="31">
        <f t="shared" si="4"/>
        <v>2.4583637714319426</v>
      </c>
      <c r="P25" s="21">
        <f>Assumptions!$C$8*(1+Assumptions!$C$9)^A25-Assumptions!$C$8+$C$7*((1+Assumptions!$C$9)^A25-1)</f>
        <v>84025.363258907106</v>
      </c>
      <c r="Q25" s="21">
        <f t="shared" si="5"/>
        <v>7535441.6979599483</v>
      </c>
      <c r="R25" s="21">
        <f>N25/(1+Assumptions!$C$43)^A25</f>
        <v>548879.28733476507</v>
      </c>
      <c r="S25">
        <f>((H25/$C$10)^(1/A25))/(1+Assumptions!$C$43)-1</f>
        <v>0.10449359547632997</v>
      </c>
    </row>
    <row r="26" spans="1:19" x14ac:dyDescent="0.2">
      <c r="A26" s="29">
        <f t="shared" si="0"/>
        <v>11</v>
      </c>
      <c r="B26" s="29">
        <f t="shared" si="0"/>
        <v>43</v>
      </c>
      <c r="C26" s="29" t="s">
        <v>39</v>
      </c>
      <c r="D26" s="31">
        <v>1</v>
      </c>
      <c r="E26" s="21">
        <f>E25*(1+Assumptions!$H$34)</f>
        <v>11972375.506814197</v>
      </c>
      <c r="F26" s="21">
        <f t="shared" si="1"/>
        <v>11972375.506814197</v>
      </c>
      <c r="G26" s="21">
        <f>IF(A26&lt;=Assumptions!$C$26,PV('Scenario Tables'!H$27/12,(Assumptions!$C$26-A26)*12,-$C$11),0)</f>
        <v>3622146.5710673728</v>
      </c>
      <c r="H26" s="21">
        <f t="shared" si="2"/>
        <v>8350228.9357468244</v>
      </c>
      <c r="I26" s="21">
        <f>IF(A26&lt;=Assumptions!$C$26,G25*'Scenario Tables'!H$27,0)</f>
        <v>63210.509901190271</v>
      </c>
      <c r="J26" s="21">
        <f>IF(A26&lt;=Assumptions!$C$26,$C$12-I26,0)</f>
        <v>159422.09602755564</v>
      </c>
      <c r="K26" s="21">
        <f>IF(Assumptions!$C$39="Investment",Assumptions!$H$35*12*(1+Assumptions!$H$36)^(A26-1)*(1-Assumptions!$C$40),Assumptions!$H$35*12*(1+Assumptions!$H$36)^(A26-1))</f>
        <v>219418.99559905627</v>
      </c>
      <c r="L26" s="21">
        <f>IF(Assumptions!$C$39="Investment",_xlfn.LET(_xlpm.gr,Assumptions!$H$35*12*(1+Assumptions!$H$36)^(A26-1),Assumptions!$H$37*(1+Assumptions!$H$36)^(A26-1)+MIN(_xlpm.gr,30000)*0.12+MAX(0,MIN(_xlpm.gr,45000)-30000)*0.2+MAX(0,MIN(_xlpm.gr,60000)-45000)*0.28+MAX(0,_xlpm.gr-60000)*0.36+K26*Assumptions!$C$41),Assumptions!$H$37*(1+Assumptions!$H$36)^(A26-1)+MAX(0,MIN(K26,25000)-12000)*0.04+MAX(0,MIN(K26,38000)-25000)*0.06+MAX(0,MIN(K26,50000)-38000)*0.08+MAX(0,MIN(K26,65000)-50000)*0.1+MAX(0,MIN(K26,80000)-65000)*0.12+MAX(0,MIN(K26,95000)-80000)*0.14+MAX(0,MIN(K26,110000)-95000)*0.16+MAX(0,K26-110000)*0.23)</f>
        <v>57168.268547688574</v>
      </c>
      <c r="M26" s="21">
        <f>IF(Assumptions!$C$39="Investment",(K26-I26-L26)*(1-Assumptions!$C$42),K26-I26-L26)</f>
        <v>99040.217150177428</v>
      </c>
      <c r="N26" s="21">
        <f t="shared" si="3"/>
        <v>801652.10949692153</v>
      </c>
      <c r="O26" s="31">
        <f t="shared" si="4"/>
        <v>2.7900458132474695</v>
      </c>
      <c r="P26" s="21">
        <f>Assumptions!$C$8*(1+Assumptions!$C$9)^A26-Assumptions!$C$8+$C$7*((1+Assumptions!$C$9)^A26-1)</f>
        <v>93625.997340379807</v>
      </c>
      <c r="Q26" s="21">
        <f t="shared" si="5"/>
        <v>8256602.9384064442</v>
      </c>
      <c r="R26" s="21">
        <f>N26/(1+Assumptions!$C$43)^A26</f>
        <v>610974.97236980754</v>
      </c>
      <c r="S26">
        <f>((H26/$C$10)^(1/A26))/(1+Assumptions!$C$43)-1</f>
        <v>0.10123543231129384</v>
      </c>
    </row>
    <row r="27" spans="1:19" x14ac:dyDescent="0.2">
      <c r="A27" s="29">
        <f t="shared" si="0"/>
        <v>12</v>
      </c>
      <c r="B27" s="29">
        <f t="shared" si="0"/>
        <v>44</v>
      </c>
      <c r="C27" s="29" t="s">
        <v>39</v>
      </c>
      <c r="D27" s="31">
        <v>1</v>
      </c>
      <c r="E27" s="21">
        <f>E26*(1+Assumptions!$H$34)</f>
        <v>12570994.282154907</v>
      </c>
      <c r="F27" s="21">
        <f t="shared" si="1"/>
        <v>12570994.282154907</v>
      </c>
      <c r="G27" s="21">
        <f>IF(A27&lt;=Assumptions!$C$26,PV('Scenario Tables'!H$27/12,(Assumptions!$C$26-A27)*12,-$C$11),0)</f>
        <v>3458792.7200228297</v>
      </c>
      <c r="H27" s="21">
        <f t="shared" si="2"/>
        <v>9112201.5621320773</v>
      </c>
      <c r="I27" s="21">
        <f>IF(A27&lt;=Assumptions!$C$26,G26*'Scenario Tables'!H$27,0)</f>
        <v>60526.069202535793</v>
      </c>
      <c r="J27" s="21">
        <f>IF(A27&lt;=Assumptions!$C$26,$C$12-I27,0)</f>
        <v>162106.53672621012</v>
      </c>
      <c r="K27" s="21">
        <f>IF(Assumptions!$C$39="Investment",Assumptions!$H$35*12*(1+Assumptions!$H$36)^(A27-1)*(1-Assumptions!$C$40),Assumptions!$H$35*12*(1+Assumptions!$H$36)^(A27-1))</f>
        <v>223807.37551103736</v>
      </c>
      <c r="L27" s="21">
        <f>IF(Assumptions!$C$39="Investment",_xlfn.LET(_xlpm.gr,Assumptions!$H$35*12*(1+Assumptions!$H$36)^(A27-1),Assumptions!$H$37*(1+Assumptions!$H$36)^(A27-1)+MIN(_xlpm.gr,30000)*0.12+MAX(0,MIN(_xlpm.gr,45000)-30000)*0.2+MAX(0,MIN(_xlpm.gr,60000)-45000)*0.28+MAX(0,_xlpm.gr-60000)*0.36+K27*Assumptions!$C$41),Assumptions!$H$37*(1+Assumptions!$H$36)^(A27-1)+MAX(0,MIN(K27,25000)-12000)*0.04+MAX(0,MIN(K27,38000)-25000)*0.06+MAX(0,MIN(K27,50000)-38000)*0.08+MAX(0,MIN(K27,65000)-50000)*0.1+MAX(0,MIN(K27,80000)-65000)*0.12+MAX(0,MIN(K27,95000)-80000)*0.14+MAX(0,MIN(K27,110000)-95000)*0.16+MAX(0,K27-110000)*0.23)</f>
        <v>58616.433918642331</v>
      </c>
      <c r="M27" s="21">
        <f>IF(Assumptions!$C$39="Investment",(K27-I27-L27)*(1-Assumptions!$C$42),K27-I27-L27)</f>
        <v>104664.87238985924</v>
      </c>
      <c r="N27" s="21">
        <f t="shared" si="3"/>
        <v>906316.98188678082</v>
      </c>
      <c r="O27" s="31">
        <f t="shared" si="4"/>
        <v>3.1358939552160843</v>
      </c>
      <c r="P27" s="21">
        <f>Assumptions!$C$8*(1+Assumptions!$C$9)^A27-Assumptions!$C$8+$C$7*((1+Assumptions!$C$9)^A27-1)</f>
        <v>103466.64727388928</v>
      </c>
      <c r="Q27" s="21">
        <f t="shared" si="5"/>
        <v>9008734.9148581885</v>
      </c>
      <c r="R27" s="21">
        <f>N27/(1+Assumptions!$C$43)^A27</f>
        <v>673897.32559841813</v>
      </c>
      <c r="S27">
        <f>((H27/$C$10)^(1/A27))/(1+Assumptions!$C$43)-1</f>
        <v>9.8137993350638997E-2</v>
      </c>
    </row>
    <row r="28" spans="1:19" x14ac:dyDescent="0.2">
      <c r="A28" s="29">
        <f t="shared" si="0"/>
        <v>13</v>
      </c>
      <c r="B28" s="29">
        <f t="shared" si="0"/>
        <v>45</v>
      </c>
      <c r="C28" s="29" t="s">
        <v>39</v>
      </c>
      <c r="D28" s="31">
        <v>1</v>
      </c>
      <c r="E28" s="21">
        <f>E27*(1+Assumptions!$H$34)</f>
        <v>13199543.996262653</v>
      </c>
      <c r="F28" s="21">
        <f t="shared" si="1"/>
        <v>13199543.996262653</v>
      </c>
      <c r="G28" s="21">
        <f>IF(A28&lt;=Assumptions!$C$26,PV('Scenario Tables'!H$27/12,(Assumptions!$C$26-A28)*12,-$C$11),0)</f>
        <v>3292688.2231333717</v>
      </c>
      <c r="H28" s="21">
        <f t="shared" si="2"/>
        <v>9906855.7731292807</v>
      </c>
      <c r="I28" s="21">
        <f>IF(A28&lt;=Assumptions!$C$26,G27*'Scenario Tables'!H$27,0)</f>
        <v>57796.426351581482</v>
      </c>
      <c r="J28" s="21">
        <f>IF(A28&lt;=Assumptions!$C$26,$C$12-I28,0)</f>
        <v>164836.17957716441</v>
      </c>
      <c r="K28" s="21">
        <f>IF(Assumptions!$C$39="Investment",Assumptions!$H$35*12*(1+Assumptions!$H$36)^(A28-1)*(1-Assumptions!$C$40),Assumptions!$H$35*12*(1+Assumptions!$H$36)^(A28-1))</f>
        <v>228283.52302125815</v>
      </c>
      <c r="L28" s="21">
        <f>IF(Assumptions!$C$39="Investment",_xlfn.LET(_xlpm.gr,Assumptions!$H$35*12*(1+Assumptions!$H$36)^(A28-1),Assumptions!$H$37*(1+Assumptions!$H$36)^(A28-1)+MIN(_xlpm.gr,30000)*0.12+MAX(0,MIN(_xlpm.gr,45000)-30000)*0.2+MAX(0,MIN(_xlpm.gr,60000)-45000)*0.28+MAX(0,_xlpm.gr-60000)*0.36+K28*Assumptions!$C$41),Assumptions!$H$37*(1+Assumptions!$H$36)^(A28-1)+MAX(0,MIN(K28,25000)-12000)*0.04+MAX(0,MIN(K28,38000)-25000)*0.06+MAX(0,MIN(K28,50000)-38000)*0.08+MAX(0,MIN(K28,65000)-50000)*0.1+MAX(0,MIN(K28,80000)-65000)*0.12+MAX(0,MIN(K28,95000)-80000)*0.14+MAX(0,MIN(K28,110000)-95000)*0.16+MAX(0,K28-110000)*0.23)</f>
        <v>60093.562597015189</v>
      </c>
      <c r="M28" s="21">
        <f>IF(Assumptions!$C$39="Investment",(K28-I28-L28)*(1-Assumptions!$C$42),K28-I28-L28)</f>
        <v>110393.53407266147</v>
      </c>
      <c r="N28" s="21">
        <f t="shared" si="3"/>
        <v>1016710.5159594422</v>
      </c>
      <c r="O28" s="31">
        <f t="shared" si="4"/>
        <v>3.4965757866418303</v>
      </c>
      <c r="P28" s="21">
        <f>Assumptions!$C$8*(1+Assumptions!$C$9)^A28-Assumptions!$C$8+$C$7*((1+Assumptions!$C$9)^A28-1)</f>
        <v>113553.31345573648</v>
      </c>
      <c r="Q28" s="21">
        <f t="shared" si="5"/>
        <v>9793302.4596735444</v>
      </c>
      <c r="R28" s="21">
        <f>N28/(1+Assumptions!$C$43)^A28</f>
        <v>737542.52441862959</v>
      </c>
      <c r="S28">
        <f>((H28/$C$10)^(1/A28))/(1+Assumptions!$C$43)-1</f>
        <v>9.5211059237443996E-2</v>
      </c>
    </row>
    <row r="29" spans="1:19" x14ac:dyDescent="0.2">
      <c r="A29" s="29">
        <f t="shared" si="0"/>
        <v>14</v>
      </c>
      <c r="B29" s="29">
        <f t="shared" si="0"/>
        <v>46</v>
      </c>
      <c r="C29" s="29" t="s">
        <v>39</v>
      </c>
      <c r="D29" s="31">
        <v>1</v>
      </c>
      <c r="E29" s="21">
        <f>E28*(1+Assumptions!$H$34)</f>
        <v>13859521.196075786</v>
      </c>
      <c r="F29" s="21">
        <f t="shared" si="1"/>
        <v>13859521.196075786</v>
      </c>
      <c r="G29" s="21">
        <f>IF(A29&lt;=Assumptions!$C$26,PV('Scenario Tables'!H$27/12,(Assumptions!$C$26-A29)*12,-$C$11),0)</f>
        <v>3123786.7634464684</v>
      </c>
      <c r="H29" s="21">
        <f t="shared" si="2"/>
        <v>10735734.432629317</v>
      </c>
      <c r="I29" s="21">
        <f>IF(A29&lt;=Assumptions!$C$26,G28*'Scenario Tables'!H$27,0)</f>
        <v>55020.820208558638</v>
      </c>
      <c r="J29" s="21">
        <f>IF(A29&lt;=Assumptions!$C$26,$C$12-I29,0)</f>
        <v>167611.78572018727</v>
      </c>
      <c r="K29" s="21">
        <f>IF(Assumptions!$C$39="Investment",Assumptions!$H$35*12*(1+Assumptions!$H$36)^(A29-1)*(1-Assumptions!$C$40),Assumptions!$H$35*12*(1+Assumptions!$H$36)^(A29-1))</f>
        <v>232849.19348168329</v>
      </c>
      <c r="L29" s="21">
        <f>IF(Assumptions!$C$39="Investment",_xlfn.LET(_xlpm.gr,Assumptions!$H$35*12*(1+Assumptions!$H$36)^(A29-1),Assumptions!$H$37*(1+Assumptions!$H$36)^(A29-1)+MIN(_xlpm.gr,30000)*0.12+MAX(0,MIN(_xlpm.gr,45000)-30000)*0.2+MAX(0,MIN(_xlpm.gr,60000)-45000)*0.28+MAX(0,_xlpm.gr-60000)*0.36+K29*Assumptions!$C$41),Assumptions!$H$37*(1+Assumptions!$H$36)^(A29-1)+MAX(0,MIN(K29,25000)-12000)*0.04+MAX(0,MIN(K29,38000)-25000)*0.06+MAX(0,MIN(K29,50000)-38000)*0.08+MAX(0,MIN(K29,65000)-50000)*0.1+MAX(0,MIN(K29,80000)-65000)*0.12+MAX(0,MIN(K29,95000)-80000)*0.14+MAX(0,MIN(K29,110000)-95000)*0.16+MAX(0,K29-110000)*0.23)</f>
        <v>61600.23384895549</v>
      </c>
      <c r="M29" s="21">
        <f>IF(Assumptions!$C$39="Investment",(K29-I29-L29)*(1-Assumptions!$C$42),K29-I29-L29)</f>
        <v>116228.13942416917</v>
      </c>
      <c r="N29" s="21">
        <f t="shared" si="3"/>
        <v>1132938.6553836113</v>
      </c>
      <c r="O29" s="31">
        <f t="shared" si="4"/>
        <v>3.8727915906995811</v>
      </c>
      <c r="P29" s="21">
        <f>Assumptions!$C$8*(1+Assumptions!$C$9)^A29-Assumptions!$C$8+$C$7*((1+Assumptions!$C$9)^A29-1)</f>
        <v>123892.14629212982</v>
      </c>
      <c r="Q29" s="21">
        <f t="shared" si="5"/>
        <v>10611842.286337188</v>
      </c>
      <c r="R29" s="21">
        <f>N29/(1+Assumptions!$C$43)^A29</f>
        <v>801811.49754270352</v>
      </c>
      <c r="S29">
        <f>((H29/$C$10)^(1/A29))/(1+Assumptions!$C$43)-1</f>
        <v>9.2453908918833205E-2</v>
      </c>
    </row>
    <row r="30" spans="1:19" x14ac:dyDescent="0.2">
      <c r="A30" s="29">
        <f t="shared" si="0"/>
        <v>15</v>
      </c>
      <c r="B30" s="29">
        <f t="shared" si="0"/>
        <v>47</v>
      </c>
      <c r="C30" s="29" t="s">
        <v>39</v>
      </c>
      <c r="D30" s="31">
        <v>1</v>
      </c>
      <c r="E30" s="21">
        <f>E29*(1+Assumptions!$H$34)</f>
        <v>14552497.255879575</v>
      </c>
      <c r="F30" s="21">
        <f t="shared" si="1"/>
        <v>14552497.255879575</v>
      </c>
      <c r="G30" s="21">
        <f>IF(A30&lt;=Assumptions!$C$26,PV('Scenario Tables'!H$27/12,(Assumptions!$C$26-A30)*12,-$C$11),0)</f>
        <v>2952041.2440981786</v>
      </c>
      <c r="H30" s="21">
        <f t="shared" si="2"/>
        <v>11600456.011781396</v>
      </c>
      <c r="I30" s="21">
        <f>IF(A30&lt;=Assumptions!$C$26,G29*'Scenario Tables'!H$27,0)</f>
        <v>52198.476817190487</v>
      </c>
      <c r="J30" s="21">
        <f>IF(A30&lt;=Assumptions!$C$26,$C$12-I30,0)</f>
        <v>170434.1291115554</v>
      </c>
      <c r="K30" s="21">
        <f>IF(Assumptions!$C$39="Investment",Assumptions!$H$35*12*(1+Assumptions!$H$36)^(A30-1)*(1-Assumptions!$C$40),Assumptions!$H$35*12*(1+Assumptions!$H$36)^(A30-1))</f>
        <v>237506.17735131699</v>
      </c>
      <c r="L30" s="21">
        <f>IF(Assumptions!$C$39="Investment",_xlfn.LET(_xlpm.gr,Assumptions!$H$35*12*(1+Assumptions!$H$36)^(A30-1),Assumptions!$H$37*(1+Assumptions!$H$36)^(A30-1)+MIN(_xlpm.gr,30000)*0.12+MAX(0,MIN(_xlpm.gr,45000)-30000)*0.2+MAX(0,MIN(_xlpm.gr,60000)-45000)*0.28+MAX(0,_xlpm.gr-60000)*0.36+K30*Assumptions!$C$41),Assumptions!$H$37*(1+Assumptions!$H$36)^(A30-1)+MAX(0,MIN(K30,25000)-12000)*0.04+MAX(0,MIN(K30,38000)-25000)*0.06+MAX(0,MIN(K30,50000)-38000)*0.08+MAX(0,MIN(K30,65000)-50000)*0.1+MAX(0,MIN(K30,80000)-65000)*0.12+MAX(0,MIN(K30,95000)-80000)*0.14+MAX(0,MIN(K30,110000)-95000)*0.16+MAX(0,K30-110000)*0.23)</f>
        <v>63137.038525934608</v>
      </c>
      <c r="M30" s="21">
        <f>IF(Assumptions!$C$39="Investment",(K30-I30-L30)*(1-Assumptions!$C$42),K30-I30-L30)</f>
        <v>122170.66200819188</v>
      </c>
      <c r="N30" s="21">
        <f t="shared" si="3"/>
        <v>1255109.3173918033</v>
      </c>
      <c r="O30" s="31">
        <f t="shared" si="4"/>
        <v>4.2652759675841487</v>
      </c>
      <c r="P30" s="21">
        <f>Assumptions!$C$8*(1+Assumptions!$C$9)^A30-Assumptions!$C$8+$C$7*((1+Assumptions!$C$9)^A30-1)</f>
        <v>134489.44994943315</v>
      </c>
      <c r="Q30" s="21">
        <f t="shared" si="5"/>
        <v>11465966.561831962</v>
      </c>
      <c r="R30" s="21">
        <f>N30/(1+Assumptions!$C$43)^A30</f>
        <v>866609.75372673082</v>
      </c>
      <c r="S30">
        <f>((H30/$C$10)^(1/A30))/(1+Assumptions!$C$43)-1</f>
        <v>8.9860410984731853E-2</v>
      </c>
    </row>
    <row r="31" spans="1:19" x14ac:dyDescent="0.2">
      <c r="A31" s="29">
        <f t="shared" si="0"/>
        <v>16</v>
      </c>
      <c r="B31" s="29">
        <f t="shared" si="0"/>
        <v>48</v>
      </c>
      <c r="C31" s="29" t="s">
        <v>39</v>
      </c>
      <c r="D31" s="31">
        <v>1</v>
      </c>
      <c r="E31" s="21">
        <f>E30*(1+Assumptions!$H$34)</f>
        <v>15280122.118673556</v>
      </c>
      <c r="F31" s="21">
        <f t="shared" si="1"/>
        <v>15280122.118673556</v>
      </c>
      <c r="G31" s="21">
        <f>IF(A31&lt;=Assumptions!$C$26,PV('Scenario Tables'!H$27/12,(Assumptions!$C$26-A31)*12,-$C$11),0)</f>
        <v>2777403.7751805508</v>
      </c>
      <c r="H31" s="21">
        <f t="shared" si="2"/>
        <v>12502718.343493005</v>
      </c>
      <c r="I31" s="21">
        <f>IF(A31&lt;=Assumptions!$C$26,G30*'Scenario Tables'!H$27,0)</f>
        <v>49328.60918888056</v>
      </c>
      <c r="J31" s="21">
        <f>IF(A31&lt;=Assumptions!$C$26,$C$12-I31,0)</f>
        <v>173303.99673986534</v>
      </c>
      <c r="K31" s="21">
        <f>IF(Assumptions!$C$39="Investment",Assumptions!$H$35*12*(1+Assumptions!$H$36)^(A31-1)*(1-Assumptions!$C$40),Assumptions!$H$35*12*(1+Assumptions!$H$36)^(A31-1))</f>
        <v>242256.30089834327</v>
      </c>
      <c r="L31" s="21">
        <f>IF(Assumptions!$C$39="Investment",_xlfn.LET(_xlpm.gr,Assumptions!$H$35*12*(1+Assumptions!$H$36)^(A31-1),Assumptions!$H$37*(1+Assumptions!$H$36)^(A31-1)+MIN(_xlpm.gr,30000)*0.12+MAX(0,MIN(_xlpm.gr,45000)-30000)*0.2+MAX(0,MIN(_xlpm.gr,60000)-45000)*0.28+MAX(0,_xlpm.gr-60000)*0.36+K31*Assumptions!$C$41),Assumptions!$H$37*(1+Assumptions!$H$36)^(A31-1)+MAX(0,MIN(K31,25000)-12000)*0.04+MAX(0,MIN(K31,38000)-25000)*0.06+MAX(0,MIN(K31,50000)-38000)*0.08+MAX(0,MIN(K31,65000)-50000)*0.1+MAX(0,MIN(K31,80000)-65000)*0.12+MAX(0,MIN(K31,95000)-80000)*0.14+MAX(0,MIN(K31,110000)-95000)*0.16+MAX(0,K31-110000)*0.23)</f>
        <v>64704.579296453274</v>
      </c>
      <c r="M31" s="21">
        <f>IF(Assumptions!$C$39="Investment",(K31-I31-L31)*(1-Assumptions!$C$42),K31-I31-L31)</f>
        <v>128223.11241300942</v>
      </c>
      <c r="N31" s="21">
        <f t="shared" si="3"/>
        <v>1383332.4298048127</v>
      </c>
      <c r="O31" s="31">
        <f t="shared" si="4"/>
        <v>4.6747995386224606</v>
      </c>
      <c r="P31" s="21">
        <f>Assumptions!$C$8*(1+Assumptions!$C$9)^A31-Assumptions!$C$8+$C$7*((1+Assumptions!$C$9)^A31-1)</f>
        <v>145351.68619816896</v>
      </c>
      <c r="Q31" s="21">
        <f t="shared" si="5"/>
        <v>12357366.657294836</v>
      </c>
      <c r="R31" s="21">
        <f>N31/(1+Assumptions!$C$43)^A31</f>
        <v>931847.21603766561</v>
      </c>
      <c r="S31">
        <f>((H31/$C$10)^(1/A31))/(1+Assumptions!$C$43)-1</f>
        <v>8.7421817950574354E-2</v>
      </c>
    </row>
    <row r="32" spans="1:19" x14ac:dyDescent="0.2">
      <c r="A32" s="29">
        <f t="shared" si="0"/>
        <v>17</v>
      </c>
      <c r="B32" s="29">
        <f t="shared" si="0"/>
        <v>49</v>
      </c>
      <c r="C32" s="29" t="s">
        <v>39</v>
      </c>
      <c r="D32" s="31">
        <v>1</v>
      </c>
      <c r="E32" s="21">
        <f>E31*(1+Assumptions!$H$34)</f>
        <v>16044128.224607235</v>
      </c>
      <c r="F32" s="21">
        <f t="shared" si="1"/>
        <v>16044128.224607235</v>
      </c>
      <c r="G32" s="21">
        <f>IF(A32&lt;=Assumptions!$C$26,PV('Scenario Tables'!H$27/12,(Assumptions!$C$26-A32)*12,-$C$11),0)</f>
        <v>2599825.6603878927</v>
      </c>
      <c r="H32" s="21">
        <f t="shared" si="2"/>
        <v>13444302.564219343</v>
      </c>
      <c r="I32" s="21">
        <f>IF(A32&lt;=Assumptions!$C$26,G31*'Scenario Tables'!H$27,0)</f>
        <v>46410.417083266999</v>
      </c>
      <c r="J32" s="21">
        <f>IF(A32&lt;=Assumptions!$C$26,$C$12-I32,0)</f>
        <v>176222.1888454789</v>
      </c>
      <c r="K32" s="21">
        <f>IF(Assumptions!$C$39="Investment",Assumptions!$H$35*12*(1+Assumptions!$H$36)^(A32-1)*(1-Assumptions!$C$40),Assumptions!$H$35*12*(1+Assumptions!$H$36)^(A32-1))</f>
        <v>247101.42691631016</v>
      </c>
      <c r="L32" s="21">
        <f>IF(Assumptions!$C$39="Investment",_xlfn.LET(_xlpm.gr,Assumptions!$H$35*12*(1+Assumptions!$H$36)^(A32-1),Assumptions!$H$37*(1+Assumptions!$H$36)^(A32-1)+MIN(_xlpm.gr,30000)*0.12+MAX(0,MIN(_xlpm.gr,45000)-30000)*0.2+MAX(0,MIN(_xlpm.gr,60000)-45000)*0.28+MAX(0,_xlpm.gr-60000)*0.36+K32*Assumptions!$C$41),Assumptions!$H$37*(1+Assumptions!$H$36)^(A32-1)+MAX(0,MIN(K32,25000)-12000)*0.04+MAX(0,MIN(K32,38000)-25000)*0.06+MAX(0,MIN(K32,50000)-38000)*0.08+MAX(0,MIN(K32,65000)-50000)*0.1+MAX(0,MIN(K32,80000)-65000)*0.12+MAX(0,MIN(K32,95000)-80000)*0.14+MAX(0,MIN(K32,110000)-95000)*0.16+MAX(0,K32-110000)*0.23)</f>
        <v>66303.47088238236</v>
      </c>
      <c r="M32" s="21">
        <f>IF(Assumptions!$C$39="Investment",(K32-I32-L32)*(1-Assumptions!$C$42),K32-I32-L32)</f>
        <v>134387.53895066079</v>
      </c>
      <c r="N32" s="21">
        <f t="shared" si="3"/>
        <v>1517719.9687554734</v>
      </c>
      <c r="O32" s="31">
        <f t="shared" si="4"/>
        <v>5.1021707353936741</v>
      </c>
      <c r="P32" s="21">
        <f>Assumptions!$C$8*(1+Assumptions!$C$9)^A32-Assumptions!$C$8+$C$7*((1+Assumptions!$C$9)^A32-1)</f>
        <v>156485.47835312312</v>
      </c>
      <c r="Q32" s="21">
        <f t="shared" si="5"/>
        <v>13287817.08586622</v>
      </c>
      <c r="R32" s="21">
        <f>N32/(1+Assumptions!$C$43)^A32</f>
        <v>997438.06148949079</v>
      </c>
      <c r="S32">
        <f>((H32/$C$10)^(1/A32))/(1+Assumptions!$C$43)-1</f>
        <v>8.5128316702045126E-2</v>
      </c>
    </row>
    <row r="33" spans="1:19" x14ac:dyDescent="0.2">
      <c r="A33" s="29">
        <f t="shared" si="0"/>
        <v>18</v>
      </c>
      <c r="B33" s="29">
        <f t="shared" si="0"/>
        <v>50</v>
      </c>
      <c r="C33" s="29" t="s">
        <v>39</v>
      </c>
      <c r="D33" s="31">
        <v>1</v>
      </c>
      <c r="E33" s="21">
        <f>E32*(1+Assumptions!$H$34)</f>
        <v>16846334.635837596</v>
      </c>
      <c r="F33" s="21">
        <f t="shared" si="1"/>
        <v>16846334.635837596</v>
      </c>
      <c r="G33" s="21">
        <f>IF(A33&lt;=Assumptions!$C$26,PV('Scenario Tables'!H$27/12,(Assumptions!$C$26-A33)*12,-$C$11),0)</f>
        <v>2419257.383438176</v>
      </c>
      <c r="H33" s="21">
        <f t="shared" si="2"/>
        <v>14427077.25239942</v>
      </c>
      <c r="I33" s="21">
        <f>IF(A33&lt;=Assumptions!$C$26,G32*'Scenario Tables'!H$27,0)</f>
        <v>43443.086785081687</v>
      </c>
      <c r="J33" s="21">
        <f>IF(A33&lt;=Assumptions!$C$26,$C$12-I33,0)</f>
        <v>179189.51914366422</v>
      </c>
      <c r="K33" s="21">
        <f>IF(Assumptions!$C$39="Investment",Assumptions!$H$35*12*(1+Assumptions!$H$36)^(A33-1)*(1-Assumptions!$C$40),Assumptions!$H$35*12*(1+Assumptions!$H$36)^(A33-1))</f>
        <v>252043.45545463639</v>
      </c>
      <c r="L33" s="21">
        <f>IF(Assumptions!$C$39="Investment",_xlfn.LET(_xlpm.gr,Assumptions!$H$35*12*(1+Assumptions!$H$36)^(A33-1),Assumptions!$H$37*(1+Assumptions!$H$36)^(A33-1)+MIN(_xlpm.gr,30000)*0.12+MAX(0,MIN(_xlpm.gr,45000)-30000)*0.2+MAX(0,MIN(_xlpm.gr,60000)-45000)*0.28+MAX(0,_xlpm.gr-60000)*0.36+K33*Assumptions!$C$41),Assumptions!$H$37*(1+Assumptions!$H$36)^(A33-1)+MAX(0,MIN(K33,25000)-12000)*0.04+MAX(0,MIN(K33,38000)-25000)*0.06+MAX(0,MIN(K33,50000)-38000)*0.08+MAX(0,MIN(K33,65000)-50000)*0.1+MAX(0,MIN(K33,80000)-65000)*0.12+MAX(0,MIN(K33,95000)-80000)*0.14+MAX(0,MIN(K33,110000)-95000)*0.16+MAX(0,K33-110000)*0.23)</f>
        <v>67934.340300030017</v>
      </c>
      <c r="M33" s="21">
        <f>IF(Assumptions!$C$39="Investment",(K33-I33-L33)*(1-Assumptions!$C$42),K33-I33-L33)</f>
        <v>140666.02836952469</v>
      </c>
      <c r="N33" s="21">
        <f t="shared" si="3"/>
        <v>1658385.9971249981</v>
      </c>
      <c r="O33" s="31">
        <f t="shared" si="4"/>
        <v>5.5482376781043117</v>
      </c>
      <c r="P33" s="21">
        <f>Assumptions!$C$8*(1+Assumptions!$C$9)^A33-Assumptions!$C$8+$C$7*((1+Assumptions!$C$9)^A33-1)</f>
        <v>167897.6153119512</v>
      </c>
      <c r="Q33" s="21">
        <f t="shared" si="5"/>
        <v>14259179.63708747</v>
      </c>
      <c r="R33" s="21">
        <f>N33/(1+Assumptions!$C$43)^A33</f>
        <v>1063300.5658851275</v>
      </c>
      <c r="S33">
        <f>((H33/$C$10)^(1/A33))/(1+Assumptions!$C$43)-1</f>
        <v>8.2969887344982673E-2</v>
      </c>
    </row>
    <row r="34" spans="1:19" x14ac:dyDescent="0.2">
      <c r="A34" s="29">
        <f t="shared" si="0"/>
        <v>19</v>
      </c>
      <c r="B34" s="29">
        <f t="shared" si="0"/>
        <v>51</v>
      </c>
      <c r="C34" s="29" t="s">
        <v>39</v>
      </c>
      <c r="D34" s="31">
        <v>1</v>
      </c>
      <c r="E34" s="21">
        <f>E33*(1+Assumptions!$H$34)</f>
        <v>17688651.367629476</v>
      </c>
      <c r="F34" s="21">
        <f t="shared" si="1"/>
        <v>17688651.367629476</v>
      </c>
      <c r="G34" s="21">
        <f>IF(A34&lt;=Assumptions!$C$26,PV('Scenario Tables'!H$27/12,(Assumptions!$C$26-A34)*12,-$C$11),0)</f>
        <v>2235648.5942658279</v>
      </c>
      <c r="H34" s="21">
        <f t="shared" si="2"/>
        <v>15453002.773363648</v>
      </c>
      <c r="I34" s="21">
        <f>IF(A34&lt;=Assumptions!$C$26,G33*'Scenario Tables'!H$27,0)</f>
        <v>40425.790877251922</v>
      </c>
      <c r="J34" s="21">
        <f>IF(A34&lt;=Assumptions!$C$26,$C$12-I34,0)</f>
        <v>182206.81505149399</v>
      </c>
      <c r="K34" s="21">
        <f>IF(Assumptions!$C$39="Investment",Assumptions!$H$35*12*(1+Assumptions!$H$36)^(A34-1)*(1-Assumptions!$C$40),Assumptions!$H$35*12*(1+Assumptions!$H$36)^(A34-1))</f>
        <v>257084.32456372908</v>
      </c>
      <c r="L34" s="21">
        <f>IF(Assumptions!$C$39="Investment",_xlfn.LET(_xlpm.gr,Assumptions!$H$35*12*(1+Assumptions!$H$36)^(A34-1),Assumptions!$H$37*(1+Assumptions!$H$36)^(A34-1)+MIN(_xlpm.gr,30000)*0.12+MAX(0,MIN(_xlpm.gr,45000)-30000)*0.2+MAX(0,MIN(_xlpm.gr,60000)-45000)*0.28+MAX(0,_xlpm.gr-60000)*0.36+K34*Assumptions!$C$41),Assumptions!$H$37*(1+Assumptions!$H$36)^(A34-1)+MAX(0,MIN(K34,25000)-12000)*0.04+MAX(0,MIN(K34,38000)-25000)*0.06+MAX(0,MIN(K34,50000)-38000)*0.08+MAX(0,MIN(K34,65000)-50000)*0.1+MAX(0,MIN(K34,80000)-65000)*0.12+MAX(0,MIN(K34,95000)-80000)*0.14+MAX(0,MIN(K34,110000)-95000)*0.16+MAX(0,K34-110000)*0.23)</f>
        <v>69597.8271060306</v>
      </c>
      <c r="M34" s="21">
        <f>IF(Assumptions!$C$39="Investment",(K34-I34-L34)*(1-Assumptions!$C$42),K34-I34-L34)</f>
        <v>147060.70658044657</v>
      </c>
      <c r="N34" s="21">
        <f t="shared" si="3"/>
        <v>1805446.7037054447</v>
      </c>
      <c r="O34" s="31">
        <f t="shared" si="4"/>
        <v>6.0138901476777633</v>
      </c>
      <c r="P34" s="21">
        <f>Assumptions!$C$8*(1+Assumptions!$C$9)^A34-Assumptions!$C$8+$C$7*((1+Assumptions!$C$9)^A34-1)</f>
        <v>179595.05569474999</v>
      </c>
      <c r="Q34" s="21">
        <f t="shared" si="5"/>
        <v>15273407.717668898</v>
      </c>
      <c r="R34" s="21">
        <f>N34/(1+Assumptions!$C$43)^A34</f>
        <v>1129356.9537054813</v>
      </c>
      <c r="S34">
        <f>((H34/$C$10)^(1/A34))/(1+Assumptions!$C$43)-1</f>
        <v>8.0936769950730181E-2</v>
      </c>
    </row>
    <row r="35" spans="1:19" x14ac:dyDescent="0.2">
      <c r="A35" s="29">
        <f t="shared" si="0"/>
        <v>20</v>
      </c>
      <c r="B35" s="29">
        <f t="shared" si="0"/>
        <v>52</v>
      </c>
      <c r="C35" s="29" t="s">
        <v>39</v>
      </c>
      <c r="D35" s="31">
        <v>1</v>
      </c>
      <c r="E35" s="21">
        <f>E34*(1+Assumptions!$H$34)</f>
        <v>18573083.936010949</v>
      </c>
      <c r="F35" s="21">
        <f t="shared" si="1"/>
        <v>18573083.936010949</v>
      </c>
      <c r="G35" s="21">
        <f>IF(A35&lt;=Assumptions!$C$26,PV('Scenario Tables'!H$27/12,(Assumptions!$C$26-A35)*12,-$C$11),0)</f>
        <v>2048948.0949819779</v>
      </c>
      <c r="H35" s="21">
        <f t="shared" si="2"/>
        <v>16524135.841028972</v>
      </c>
      <c r="I35" s="21">
        <f>IF(A35&lt;=Assumptions!$C$26,G34*'Scenario Tables'!H$27,0)</f>
        <v>37357.688010181984</v>
      </c>
      <c r="J35" s="21">
        <f>IF(A35&lt;=Assumptions!$C$26,$C$12-I35,0)</f>
        <v>185274.91791856394</v>
      </c>
      <c r="K35" s="21">
        <f>IF(Assumptions!$C$39="Investment",Assumptions!$H$35*12*(1+Assumptions!$H$36)^(A35-1)*(1-Assumptions!$C$40),Assumptions!$H$35*12*(1+Assumptions!$H$36)^(A35-1))</f>
        <v>262226.01105500368</v>
      </c>
      <c r="L35" s="21">
        <f>IF(Assumptions!$C$39="Investment",_xlfn.LET(_xlpm.gr,Assumptions!$H$35*12*(1+Assumptions!$H$36)^(A35-1),Assumptions!$H$37*(1+Assumptions!$H$36)^(A35-1)+MIN(_xlpm.gr,30000)*0.12+MAX(0,MIN(_xlpm.gr,45000)-30000)*0.2+MAX(0,MIN(_xlpm.gr,60000)-45000)*0.28+MAX(0,_xlpm.gr-60000)*0.36+K35*Assumptions!$C$41),Assumptions!$H$37*(1+Assumptions!$H$36)^(A35-1)+MAX(0,MIN(K35,25000)-12000)*0.04+MAX(0,MIN(K35,38000)-25000)*0.06+MAX(0,MIN(K35,50000)-38000)*0.08+MAX(0,MIN(K35,65000)-50000)*0.1+MAX(0,MIN(K35,80000)-65000)*0.12+MAX(0,MIN(K35,95000)-80000)*0.14+MAX(0,MIN(K35,110000)-95000)*0.16+MAX(0,K35-110000)*0.23)</f>
        <v>71294.583648151209</v>
      </c>
      <c r="M35" s="21">
        <f>IF(Assumptions!$C$39="Investment",(K35-I35-L35)*(1-Assumptions!$C$42),K35-I35-L35)</f>
        <v>153573.73939667048</v>
      </c>
      <c r="N35" s="21">
        <f t="shared" si="3"/>
        <v>1959020.4431021153</v>
      </c>
      <c r="O35" s="31">
        <f t="shared" si="4"/>
        <v>6.5000616562404554</v>
      </c>
      <c r="P35" s="21">
        <f>Assumptions!$C$8*(1+Assumptions!$C$9)^A35-Assumptions!$C$8+$C$7*((1+Assumptions!$C$9)^A35-1)</f>
        <v>191584.93208711868</v>
      </c>
      <c r="Q35" s="21">
        <f t="shared" si="5"/>
        <v>16332550.908941854</v>
      </c>
      <c r="R35" s="21">
        <f>N35/(1+Assumptions!$C$43)^A35</f>
        <v>1195533.2528916516</v>
      </c>
      <c r="S35">
        <f>((H35/$C$10)^(1/A35))/(1+Assumptions!$C$43)-1</f>
        <v>7.9019706173457882E-2</v>
      </c>
    </row>
    <row r="37" spans="1:19" x14ac:dyDescent="0.2">
      <c r="A37" s="23" t="s">
        <v>81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9" x14ac:dyDescent="0.2">
      <c r="A38" s="13" t="s">
        <v>82</v>
      </c>
      <c r="E38" s="22">
        <f>H35</f>
        <v>16524135.841028972</v>
      </c>
      <c r="G38" s="13" t="s">
        <v>83</v>
      </c>
      <c r="I38" s="22">
        <f>G35</f>
        <v>2048948.0949819779</v>
      </c>
    </row>
    <row r="39" spans="1:19" x14ac:dyDescent="0.2">
      <c r="A39" s="13" t="s">
        <v>84</v>
      </c>
      <c r="E39" s="25">
        <f>Q35</f>
        <v>16332550.908941854</v>
      </c>
      <c r="G39" s="13" t="s">
        <v>85</v>
      </c>
      <c r="I39" s="22">
        <f>P35</f>
        <v>191584.93208711868</v>
      </c>
    </row>
    <row r="40" spans="1:19" x14ac:dyDescent="0.2">
      <c r="A40" s="13" t="s">
        <v>86</v>
      </c>
      <c r="E40" s="32">
        <f>O35</f>
        <v>6.5000616562404554</v>
      </c>
      <c r="G40" s="13" t="s">
        <v>87</v>
      </c>
      <c r="I40" s="33">
        <f>(H35/$C$10)^(1/20)-1</f>
        <v>0.10599519882779429</v>
      </c>
    </row>
    <row r="41" spans="1:19" x14ac:dyDescent="0.2">
      <c r="A41" s="13" t="s">
        <v>88</v>
      </c>
      <c r="E41" s="22">
        <f>N35</f>
        <v>1959020.4431021153</v>
      </c>
      <c r="G41" s="13" t="s">
        <v>89</v>
      </c>
      <c r="I41" s="34" cm="1">
        <f t="array" ref="I41">IFERROR(MATCH(TRUE,INDEX(H16:H35&gt;$C$10,0),0),"Never")</f>
        <v>1</v>
      </c>
    </row>
    <row r="42" spans="1:19" x14ac:dyDescent="0.2">
      <c r="A42" s="96" t="s">
        <v>191</v>
      </c>
      <c r="E42" s="87">
        <f>S35</f>
        <v>7.9019706173457882E-2</v>
      </c>
      <c r="G42" s="96" t="s">
        <v>192</v>
      </c>
      <c r="I42" s="72">
        <f>R35</f>
        <v>1195533.2528916516</v>
      </c>
    </row>
    <row r="43" spans="1:19" x14ac:dyDescent="0.2">
      <c r="A43" s="96" t="s">
        <v>193</v>
      </c>
      <c r="E43" s="129">
        <f>Assumptions!$C$43</f>
        <v>2.5000000000000001E-2</v>
      </c>
      <c r="G43" s="13"/>
      <c r="I43" s="3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AB8E-F19E-3E47-9D75-8D5F1EB5E06C}">
  <dimension ref="A1:V29"/>
  <sheetViews>
    <sheetView workbookViewId="0"/>
  </sheetViews>
  <sheetFormatPr baseColWidth="10" defaultRowHeight="16" outlineLevelCol="1" x14ac:dyDescent="0.2"/>
  <cols>
    <col min="1" max="1" width="7.5" customWidth="1"/>
    <col min="2" max="11" width="15.83203125" customWidth="1"/>
    <col min="13" max="17" width="10.83203125" outlineLevel="1"/>
    <col min="19" max="22" width="10.83203125" outlineLevel="1"/>
  </cols>
  <sheetData>
    <row r="1" spans="1:22" ht="22" x14ac:dyDescent="0.3">
      <c r="A1" s="137" t="s">
        <v>229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22" x14ac:dyDescent="0.2">
      <c r="A3" s="104" t="s">
        <v>204</v>
      </c>
      <c r="B3" s="4"/>
      <c r="C3" s="4"/>
    </row>
    <row r="4" spans="1:22" ht="19" x14ac:dyDescent="0.25">
      <c r="A4" s="125" t="s">
        <v>206</v>
      </c>
      <c r="C4" s="138" t="s">
        <v>146</v>
      </c>
    </row>
    <row r="5" spans="1:22" x14ac:dyDescent="0.2">
      <c r="A5" s="119" t="s">
        <v>208</v>
      </c>
      <c r="C5" s="119">
        <f>MATCH(C4,{"HDB 1984","Condo 99LH","FH Condo","HDB 2005","HDB 2015","FH Landed (Prime)"},0)</f>
        <v>6</v>
      </c>
    </row>
    <row r="6" spans="1:22" x14ac:dyDescent="0.2">
      <c r="A6" s="119" t="s">
        <v>210</v>
      </c>
      <c r="C6" s="133" cm="1">
        <f t="array" ref="C6">INDEX(Assumptions!C31:H31,C5)</f>
        <v>7000000</v>
      </c>
    </row>
    <row r="7" spans="1:22" ht="17" thickBot="1" x14ac:dyDescent="0.25"/>
    <row r="8" spans="1:22" ht="32" x14ac:dyDescent="0.2">
      <c r="A8" s="168" t="s">
        <v>66</v>
      </c>
      <c r="B8" s="167" t="s">
        <v>230</v>
      </c>
      <c r="C8" s="167" t="s">
        <v>231</v>
      </c>
      <c r="D8" s="167" t="s">
        <v>232</v>
      </c>
      <c r="E8" s="167" t="s">
        <v>233</v>
      </c>
      <c r="F8" s="167" t="s">
        <v>234</v>
      </c>
      <c r="G8" s="167" t="s">
        <v>235</v>
      </c>
      <c r="H8" s="167" t="s">
        <v>236</v>
      </c>
      <c r="I8" s="167" t="s">
        <v>92</v>
      </c>
      <c r="J8" s="167" t="s">
        <v>72</v>
      </c>
      <c r="K8" s="171" t="s">
        <v>237</v>
      </c>
      <c r="M8" s="180" t="s">
        <v>66</v>
      </c>
      <c r="N8" s="180" t="s">
        <v>239</v>
      </c>
      <c r="O8" s="144" t="s">
        <v>240</v>
      </c>
      <c r="P8" s="144" t="s">
        <v>241</v>
      </c>
      <c r="Q8" s="144" t="s">
        <v>242</v>
      </c>
      <c r="S8" s="144" t="s">
        <v>66</v>
      </c>
      <c r="T8" s="144" t="s">
        <v>243</v>
      </c>
      <c r="U8" s="144" t="s">
        <v>244</v>
      </c>
      <c r="V8" s="144" t="s">
        <v>245</v>
      </c>
    </row>
    <row r="9" spans="1:22" x14ac:dyDescent="0.2">
      <c r="A9" s="169">
        <v>1</v>
      </c>
      <c r="B9" s="150">
        <f>CHOOSE($C$5,'HDB 1984'!$C$12,'Condo 99LH'!$C$12,'FH Condo'!$C$12,'HDB 2005'!$C$12,'HDB 2015'!$C$12,'FH Landed (Prime)'!$C$12)</f>
        <v>222632.60592874591</v>
      </c>
      <c r="C9" s="150">
        <f>CHOOSE($C$5,'HDB 1984'!I16,'Condo 99LH'!I16,'FH Condo'!I16,'HDB 2005'!I16,'HDB 2015'!I16,'FH Landed (Prime)'!I16)</f>
        <v>87727.5</v>
      </c>
      <c r="D9" s="150">
        <f>CHOOSE($C$5,'HDB 1984'!J16,'Condo 99LH'!J16,'FH Condo'!J16,'HDB 2005'!J16,'HDB 2015'!J16,'FH Landed (Prime)'!J16)</f>
        <v>134905.10592874591</v>
      </c>
      <c r="E9" s="150">
        <f>CHOOSE($C$5,'HDB 1984'!K16,'Condo 99LH'!K16,'FH Condo'!K16,'HDB 2005'!K16,'HDB 2015'!K16,'FH Landed (Prime)'!K16)</f>
        <v>180000</v>
      </c>
      <c r="F9" s="150">
        <f>CHOOSE($C$5,'HDB 1984'!L16,'Condo 99LH'!L16,'FH Condo'!L16,'HDB 2005'!L16,'HDB 2015'!L16,'FH Landed (Prime)'!L16)</f>
        <v>44160</v>
      </c>
      <c r="G9" s="150">
        <f>CHOOSE($C$5,'HDB 1984'!M16,'Condo 99LH'!M16,'FH Condo'!M16,'HDB 2005'!M16,'HDB 2015'!M16,'FH Landed (Prime)'!M16)</f>
        <v>48112.5</v>
      </c>
      <c r="H9" s="150">
        <f>CHOOSE($C$5,'HDB 1984'!N16,'Condo 99LH'!N16,'FH Condo'!N16,'HDB 2005'!N16,'HDB 2015'!N16,'FH Landed (Prime)'!N16)</f>
        <v>48112.5</v>
      </c>
      <c r="I9" s="150">
        <f>CHOOSE($C$5,'HDB 1984'!F16,'Condo 99LH'!F16,'FH Condo'!F16,'HDB 2005'!F16,'HDB 2015'!F16,'FH Landed (Prime)'!F16)</f>
        <v>7350000</v>
      </c>
      <c r="J9" s="150">
        <f>CHOOSE($C$5,'HDB 1984'!G16,'Condo 99LH'!G16,'FH Condo'!G16,'HDB 2005'!G16,'HDB 2015'!G16,'FH Landed (Prime)'!G16)</f>
        <v>5114056.8787408099</v>
      </c>
      <c r="K9" s="158">
        <f>CHOOSE($C$5,'HDB 1984'!Q16,'Condo 99LH'!Q16,'FH Condo'!Q16,'HDB 2005'!Q16,'HDB 2015'!Q16,'FH Landed (Prime)'!Q16)</f>
        <v>2228443.1212591901</v>
      </c>
      <c r="M9" s="144">
        <f>A9</f>
        <v>1</v>
      </c>
      <c r="N9" s="144">
        <f>C9</f>
        <v>87727.5</v>
      </c>
      <c r="O9" s="144">
        <f>D9</f>
        <v>134905.10592874591</v>
      </c>
      <c r="P9" s="144">
        <f>G9</f>
        <v>48112.5</v>
      </c>
      <c r="Q9" s="144">
        <f>F9</f>
        <v>44160</v>
      </c>
      <c r="S9">
        <f>A9</f>
        <v>1</v>
      </c>
      <c r="T9">
        <f>I9</f>
        <v>7350000</v>
      </c>
      <c r="U9">
        <f>J9</f>
        <v>5114056.8787408099</v>
      </c>
      <c r="V9">
        <f>K9</f>
        <v>2228443.1212591901</v>
      </c>
    </row>
    <row r="10" spans="1:22" x14ac:dyDescent="0.2">
      <c r="A10" s="170">
        <v>2</v>
      </c>
      <c r="B10" s="166">
        <f>B9</f>
        <v>222632.60592874591</v>
      </c>
      <c r="C10" s="166">
        <f>CHOOSE($C$5,'HDB 1984'!I17,'Condo 99LH'!I17,'FH Condo'!I17,'HDB 2005'!I17,'HDB 2015'!I17,'FH Landed (Prime)'!I17)</f>
        <v>85455.890443758923</v>
      </c>
      <c r="D10" s="166">
        <f>CHOOSE($C$5,'HDB 1984'!J17,'Condo 99LH'!J17,'FH Condo'!J17,'HDB 2005'!J17,'HDB 2015'!J17,'FH Landed (Prime)'!J17)</f>
        <v>137176.71548498698</v>
      </c>
      <c r="E10" s="166">
        <f>CHOOSE($C$5,'HDB 1984'!K17,'Condo 99LH'!K17,'FH Condo'!K17,'HDB 2005'!K17,'HDB 2015'!K17,'FH Landed (Prime)'!K17)</f>
        <v>183600</v>
      </c>
      <c r="F10" s="166">
        <f>CHOOSE($C$5,'HDB 1984'!L17,'Condo 99LH'!L17,'FH Condo'!L17,'HDB 2005'!L17,'HDB 2015'!L17,'FH Landed (Prime)'!L17)</f>
        <v>45348</v>
      </c>
      <c r="G10" s="166">
        <f>CHOOSE($C$5,'HDB 1984'!M17,'Condo 99LH'!M17,'FH Condo'!M17,'HDB 2005'!M17,'HDB 2015'!M17,'FH Landed (Prime)'!M17)</f>
        <v>52796.109556241077</v>
      </c>
      <c r="H10" s="166">
        <f>CHOOSE($C$5,'HDB 1984'!N17,'Condo 99LH'!N17,'FH Condo'!N17,'HDB 2005'!N17,'HDB 2015'!N17,'FH Landed (Prime)'!N17)</f>
        <v>100908.60955624108</v>
      </c>
      <c r="I10" s="166">
        <f>CHOOSE($C$5,'HDB 1984'!F17,'Condo 99LH'!F17,'FH Condo'!F17,'HDB 2005'!F17,'HDB 2015'!F17,'FH Landed (Prime)'!F17)</f>
        <v>7717500</v>
      </c>
      <c r="J10" s="166">
        <f>CHOOSE($C$5,'HDB 1984'!G17,'Condo 99LH'!G17,'FH Condo'!G17,'HDB 2005'!G17,'HDB 2015'!G17,'FH Landed (Prime)'!G17)</f>
        <v>4975824.669228117</v>
      </c>
      <c r="K10" s="172">
        <f>CHOOSE($C$5,'HDB 1984'!Q17,'Condo 99LH'!Q17,'FH Condo'!Q17,'HDB 2005'!Q17,'HDB 2015'!Q17,'FH Landed (Prime)'!Q17)</f>
        <v>2726487.830771883</v>
      </c>
      <c r="M10" s="144">
        <f t="shared" ref="M10:M28" si="0">A10</f>
        <v>2</v>
      </c>
      <c r="N10" s="144">
        <f t="shared" ref="N10:N28" si="1">C10</f>
        <v>85455.890443758923</v>
      </c>
      <c r="O10" s="144">
        <f t="shared" ref="O10:O28" si="2">D10</f>
        <v>137176.71548498698</v>
      </c>
      <c r="P10" s="144">
        <f t="shared" ref="P10:P28" si="3">G10</f>
        <v>52796.109556241077</v>
      </c>
      <c r="Q10" s="144">
        <f t="shared" ref="Q10:Q28" si="4">F10</f>
        <v>45348</v>
      </c>
      <c r="S10">
        <f t="shared" ref="S10:S28" si="5">A10</f>
        <v>2</v>
      </c>
      <c r="T10">
        <f t="shared" ref="T10:T28" si="6">I10</f>
        <v>7717500</v>
      </c>
      <c r="U10">
        <f t="shared" ref="U10:U28" si="7">J10</f>
        <v>4975824.669228117</v>
      </c>
      <c r="V10">
        <f t="shared" ref="V10:V28" si="8">K10</f>
        <v>2726487.830771883</v>
      </c>
    </row>
    <row r="11" spans="1:22" x14ac:dyDescent="0.2">
      <c r="A11" s="169">
        <v>3</v>
      </c>
      <c r="B11" s="150">
        <f t="shared" ref="B11:B28" si="9">B10</f>
        <v>222632.60592874591</v>
      </c>
      <c r="C11" s="150">
        <f>CHOOSE($C$5,'HDB 1984'!I18,'Condo 99LH'!I18,'FH Condo'!I18,'HDB 2005'!I18,'HDB 2015'!I18,'FH Landed (Prime)'!I18)</f>
        <v>83146.030222801826</v>
      </c>
      <c r="D11" s="150">
        <f>CHOOSE($C$5,'HDB 1984'!J18,'Condo 99LH'!J18,'FH Condo'!J18,'HDB 2005'!J18,'HDB 2015'!J18,'FH Landed (Prime)'!J18)</f>
        <v>139486.57570594409</v>
      </c>
      <c r="E11" s="150">
        <f>CHOOSE($C$5,'HDB 1984'!K18,'Condo 99LH'!K18,'FH Condo'!K18,'HDB 2005'!K18,'HDB 2015'!K18,'FH Landed (Prime)'!K18)</f>
        <v>187272</v>
      </c>
      <c r="F11" s="150">
        <f>CHOOSE($C$5,'HDB 1984'!L18,'Condo 99LH'!L18,'FH Condo'!L18,'HDB 2005'!L18,'HDB 2015'!L18,'FH Landed (Prime)'!L18)</f>
        <v>46559.76</v>
      </c>
      <c r="G11" s="150">
        <f>CHOOSE($C$5,'HDB 1984'!M18,'Condo 99LH'!M18,'FH Condo'!M18,'HDB 2005'!M18,'HDB 2015'!M18,'FH Landed (Prime)'!M18)</f>
        <v>57566.209777198172</v>
      </c>
      <c r="H11" s="150">
        <f>CHOOSE($C$5,'HDB 1984'!N18,'Condo 99LH'!N18,'FH Condo'!N18,'HDB 2005'!N18,'HDB 2015'!N18,'FH Landed (Prime)'!N18)</f>
        <v>158474.81933343926</v>
      </c>
      <c r="I11" s="150">
        <f>CHOOSE($C$5,'HDB 1984'!F18,'Condo 99LH'!F18,'FH Condo'!F18,'HDB 2005'!F18,'HDB 2015'!F18,'FH Landed (Prime)'!F18)</f>
        <v>8103375</v>
      </c>
      <c r="J11" s="150">
        <f>CHOOSE($C$5,'HDB 1984'!G18,'Condo 99LH'!G18,'FH Condo'!G18,'HDB 2005'!G18,'HDB 2015'!G18,'FH Landed (Prime)'!G18)</f>
        <v>4835264.8264805926</v>
      </c>
      <c r="K11" s="158">
        <f>CHOOSE($C$5,'HDB 1984'!Q18,'Condo 99LH'!Q18,'FH Condo'!Q18,'HDB 2005'!Q18,'HDB 2015'!Q18,'FH Landed (Prime)'!Q18)</f>
        <v>3245042.9860194074</v>
      </c>
      <c r="M11" s="144">
        <f t="shared" si="0"/>
        <v>3</v>
      </c>
      <c r="N11" s="144">
        <f t="shared" si="1"/>
        <v>83146.030222801826</v>
      </c>
      <c r="O11" s="144">
        <f t="shared" si="2"/>
        <v>139486.57570594409</v>
      </c>
      <c r="P11" s="144">
        <f t="shared" si="3"/>
        <v>57566.209777198172</v>
      </c>
      <c r="Q11" s="144">
        <f t="shared" si="4"/>
        <v>46559.76</v>
      </c>
      <c r="S11">
        <f t="shared" si="5"/>
        <v>3</v>
      </c>
      <c r="T11">
        <f t="shared" si="6"/>
        <v>8103375</v>
      </c>
      <c r="U11">
        <f t="shared" si="7"/>
        <v>4835264.8264805926</v>
      </c>
      <c r="V11">
        <f t="shared" si="8"/>
        <v>3245042.9860194074</v>
      </c>
    </row>
    <row r="12" spans="1:22" x14ac:dyDescent="0.2">
      <c r="A12" s="170">
        <v>4</v>
      </c>
      <c r="B12" s="166">
        <f t="shared" si="9"/>
        <v>222632.60592874591</v>
      </c>
      <c r="C12" s="166">
        <f>CHOOSE($C$5,'HDB 1984'!I19,'Condo 99LH'!I19,'FH Condo'!I19,'HDB 2005'!I19,'HDB 2015'!I19,'FH Landed (Prime)'!I19)</f>
        <v>80797.275250490697</v>
      </c>
      <c r="D12" s="166">
        <f>CHOOSE($C$5,'HDB 1984'!J19,'Condo 99LH'!J19,'FH Condo'!J19,'HDB 2005'!J19,'HDB 2015'!J19,'FH Landed (Prime)'!J19)</f>
        <v>141835.33067825521</v>
      </c>
      <c r="E12" s="166">
        <f>CHOOSE($C$5,'HDB 1984'!K19,'Condo 99LH'!K19,'FH Condo'!K19,'HDB 2005'!K19,'HDB 2015'!K19,'FH Landed (Prime)'!K19)</f>
        <v>191017.43999999997</v>
      </c>
      <c r="F12" s="166">
        <f>CHOOSE($C$5,'HDB 1984'!L19,'Condo 99LH'!L19,'FH Condo'!L19,'HDB 2005'!L19,'HDB 2015'!L19,'FH Landed (Prime)'!L19)</f>
        <v>47795.755199999992</v>
      </c>
      <c r="G12" s="166">
        <f>CHOOSE($C$5,'HDB 1984'!M19,'Condo 99LH'!M19,'FH Condo'!M19,'HDB 2005'!M19,'HDB 2015'!M19,'FH Landed (Prime)'!M19)</f>
        <v>62424.409549509284</v>
      </c>
      <c r="H12" s="166">
        <f>CHOOSE($C$5,'HDB 1984'!N19,'Condo 99LH'!N19,'FH Condo'!N19,'HDB 2005'!N19,'HDB 2015'!N19,'FH Landed (Prime)'!N19)</f>
        <v>220899.22888294855</v>
      </c>
      <c r="I12" s="166">
        <f>CHOOSE($C$5,'HDB 1984'!F19,'Condo 99LH'!F19,'FH Condo'!F19,'HDB 2005'!F19,'HDB 2015'!F19,'FH Landed (Prime)'!F19)</f>
        <v>8508543.75</v>
      </c>
      <c r="J12" s="166">
        <f>CHOOSE($C$5,'HDB 1984'!G19,'Condo 99LH'!G19,'FH Condo'!G19,'HDB 2005'!G19,'HDB 2015'!G19,'FH Landed (Prime)'!G19)</f>
        <v>4692338.156474676</v>
      </c>
      <c r="K12" s="172">
        <f>CHOOSE($C$5,'HDB 1984'!Q19,'Condo 99LH'!Q19,'FH Condo'!Q19,'HDB 2005'!Q19,'HDB 2015'!Q19,'FH Landed (Prime)'!Q19)</f>
        <v>3785061.726337824</v>
      </c>
      <c r="M12" s="144">
        <f t="shared" si="0"/>
        <v>4</v>
      </c>
      <c r="N12" s="144">
        <f t="shared" si="1"/>
        <v>80797.275250490697</v>
      </c>
      <c r="O12" s="144">
        <f t="shared" si="2"/>
        <v>141835.33067825521</v>
      </c>
      <c r="P12" s="144">
        <f t="shared" si="3"/>
        <v>62424.409549509284</v>
      </c>
      <c r="Q12" s="144">
        <f t="shared" si="4"/>
        <v>47795.755199999992</v>
      </c>
      <c r="S12">
        <f t="shared" si="5"/>
        <v>4</v>
      </c>
      <c r="T12">
        <f t="shared" si="6"/>
        <v>8508543.75</v>
      </c>
      <c r="U12">
        <f t="shared" si="7"/>
        <v>4692338.156474676</v>
      </c>
      <c r="V12">
        <f t="shared" si="8"/>
        <v>3785061.726337824</v>
      </c>
    </row>
    <row r="13" spans="1:22" x14ac:dyDescent="0.2">
      <c r="A13" s="169">
        <v>5</v>
      </c>
      <c r="B13" s="150">
        <f t="shared" si="9"/>
        <v>222632.60592874591</v>
      </c>
      <c r="C13" s="150">
        <f>CHOOSE($C$5,'HDB 1984'!I20,'Condo 99LH'!I20,'FH Condo'!I20,'HDB 2005'!I20,'HDB 2015'!I20,'FH Landed (Prime)'!I20)</f>
        <v>78408.970594691826</v>
      </c>
      <c r="D13" s="150">
        <f>CHOOSE($C$5,'HDB 1984'!J20,'Condo 99LH'!J20,'FH Condo'!J20,'HDB 2005'!J20,'HDB 2015'!J20,'FH Landed (Prime)'!J20)</f>
        <v>144223.63533405407</v>
      </c>
      <c r="E13" s="150">
        <f>CHOOSE($C$5,'HDB 1984'!K20,'Condo 99LH'!K20,'FH Condo'!K20,'HDB 2005'!K20,'HDB 2015'!K20,'FH Landed (Prime)'!K20)</f>
        <v>194837.78880000001</v>
      </c>
      <c r="F13" s="150">
        <f>CHOOSE($C$5,'HDB 1984'!L20,'Condo 99LH'!L20,'FH Condo'!L20,'HDB 2005'!L20,'HDB 2015'!L20,'FH Landed (Prime)'!L20)</f>
        <v>49056.470304000002</v>
      </c>
      <c r="G13" s="150">
        <f>CHOOSE($C$5,'HDB 1984'!M20,'Condo 99LH'!M20,'FH Condo'!M20,'HDB 2005'!M20,'HDB 2015'!M20,'FH Landed (Prime)'!M20)</f>
        <v>67372.347901308181</v>
      </c>
      <c r="H13" s="150">
        <f>CHOOSE($C$5,'HDB 1984'!N20,'Condo 99LH'!N20,'FH Condo'!N20,'HDB 2005'!N20,'HDB 2015'!N20,'FH Landed (Prime)'!N20)</f>
        <v>288271.57678425673</v>
      </c>
      <c r="I13" s="150">
        <f>CHOOSE($C$5,'HDB 1984'!F20,'Condo 99LH'!F20,'FH Condo'!F20,'HDB 2005'!F20,'HDB 2015'!F20,'FH Landed (Prime)'!F20)</f>
        <v>8933970.9375</v>
      </c>
      <c r="J13" s="150">
        <f>CHOOSE($C$5,'HDB 1984'!G20,'Condo 99LH'!G20,'FH Condo'!G20,'HDB 2005'!G20,'HDB 2015'!G20,'FH Landed (Prime)'!G20)</f>
        <v>4547004.8052153587</v>
      </c>
      <c r="K13" s="158">
        <f>CHOOSE($C$5,'HDB 1984'!Q20,'Condo 99LH'!Q20,'FH Condo'!Q20,'HDB 2005'!Q20,'HDB 2015'!Q20,'FH Landed (Prime)'!Q20)</f>
        <v>4347543.6684174538</v>
      </c>
      <c r="M13" s="144">
        <f t="shared" si="0"/>
        <v>5</v>
      </c>
      <c r="N13" s="144">
        <f t="shared" si="1"/>
        <v>78408.970594691826</v>
      </c>
      <c r="O13" s="144">
        <f t="shared" si="2"/>
        <v>144223.63533405407</v>
      </c>
      <c r="P13" s="144">
        <f t="shared" si="3"/>
        <v>67372.347901308181</v>
      </c>
      <c r="Q13" s="144">
        <f t="shared" si="4"/>
        <v>49056.470304000002</v>
      </c>
      <c r="S13">
        <f t="shared" si="5"/>
        <v>5</v>
      </c>
      <c r="T13">
        <f t="shared" si="6"/>
        <v>8933970.9375</v>
      </c>
      <c r="U13">
        <f t="shared" si="7"/>
        <v>4547004.8052153587</v>
      </c>
      <c r="V13">
        <f t="shared" si="8"/>
        <v>4347543.6684174538</v>
      </c>
    </row>
    <row r="14" spans="1:22" x14ac:dyDescent="0.2">
      <c r="A14" s="170">
        <v>6</v>
      </c>
      <c r="B14" s="166">
        <f t="shared" si="9"/>
        <v>222632.60592874591</v>
      </c>
      <c r="C14" s="166">
        <f>CHOOSE($C$5,'HDB 1984'!I21,'Condo 99LH'!I21,'FH Condo'!I21,'HDB 2005'!I21,'HDB 2015'!I21,'FH Landed (Prime)'!I21)</f>
        <v>75980.450295148636</v>
      </c>
      <c r="D14" s="166">
        <f>CHOOSE($C$5,'HDB 1984'!J21,'Condo 99LH'!J21,'FH Condo'!J21,'HDB 2005'!J21,'HDB 2015'!J21,'FH Landed (Prime)'!J21)</f>
        <v>146652.15563359729</v>
      </c>
      <c r="E14" s="166">
        <f>CHOOSE($C$5,'HDB 1984'!K21,'Condo 99LH'!K21,'FH Condo'!K21,'HDB 2005'!K21,'HDB 2015'!K21,'FH Landed (Prime)'!K21)</f>
        <v>198734.54457600001</v>
      </c>
      <c r="F14" s="166">
        <f>CHOOSE($C$5,'HDB 1984'!L21,'Condo 99LH'!L21,'FH Condo'!L21,'HDB 2005'!L21,'HDB 2015'!L21,'FH Landed (Prime)'!L21)</f>
        <v>50342.399710080004</v>
      </c>
      <c r="G14" s="166">
        <f>CHOOSE($C$5,'HDB 1984'!M21,'Condo 99LH'!M21,'FH Condo'!M21,'HDB 2005'!M21,'HDB 2015'!M21,'FH Landed (Prime)'!M21)</f>
        <v>72411.694570771375</v>
      </c>
      <c r="H14" s="166">
        <f>CHOOSE($C$5,'HDB 1984'!N21,'Condo 99LH'!N21,'FH Condo'!N21,'HDB 2005'!N21,'HDB 2015'!N21,'FH Landed (Prime)'!N21)</f>
        <v>360683.27135502809</v>
      </c>
      <c r="I14" s="166">
        <f>CHOOSE($C$5,'HDB 1984'!F21,'Condo 99LH'!F21,'FH Condo'!F21,'HDB 2005'!F21,'HDB 2015'!F21,'FH Landed (Prime)'!F21)</f>
        <v>9380669.484375</v>
      </c>
      <c r="J14" s="166">
        <f>CHOOSE($C$5,'HDB 1984'!G21,'Condo 99LH'!G21,'FH Condo'!G21,'HDB 2005'!G21,'HDB 2015'!G21,'FH Landed (Prime)'!G21)</f>
        <v>4399224.2476232061</v>
      </c>
      <c r="K14" s="172">
        <f>CHOOSE($C$5,'HDB 1984'!Q21,'Condo 99LH'!Q21,'FH Condo'!Q21,'HDB 2005'!Q21,'HDB 2015'!Q21,'FH Landed (Prime)'!Q21)</f>
        <v>4933537.2112879269</v>
      </c>
      <c r="M14" s="144">
        <f t="shared" si="0"/>
        <v>6</v>
      </c>
      <c r="N14" s="144">
        <f t="shared" si="1"/>
        <v>75980.450295148636</v>
      </c>
      <c r="O14" s="144">
        <f t="shared" si="2"/>
        <v>146652.15563359729</v>
      </c>
      <c r="P14" s="144">
        <f t="shared" si="3"/>
        <v>72411.694570771375</v>
      </c>
      <c r="Q14" s="144">
        <f t="shared" si="4"/>
        <v>50342.399710080004</v>
      </c>
      <c r="S14">
        <f t="shared" si="5"/>
        <v>6</v>
      </c>
      <c r="T14">
        <f t="shared" si="6"/>
        <v>9380669.484375</v>
      </c>
      <c r="U14">
        <f t="shared" si="7"/>
        <v>4399224.2476232061</v>
      </c>
      <c r="V14">
        <f t="shared" si="8"/>
        <v>4933537.2112879269</v>
      </c>
    </row>
    <row r="15" spans="1:22" x14ac:dyDescent="0.2">
      <c r="A15" s="169">
        <v>7</v>
      </c>
      <c r="B15" s="150">
        <f t="shared" si="9"/>
        <v>222632.60592874591</v>
      </c>
      <c r="C15" s="150">
        <f>CHOOSE($C$5,'HDB 1984'!I22,'Condo 99LH'!I22,'FH Condo'!I22,'HDB 2005'!I22,'HDB 2015'!I22,'FH Landed (Prime)'!I22)</f>
        <v>73511.037177783772</v>
      </c>
      <c r="D15" s="150">
        <f>CHOOSE($C$5,'HDB 1984'!J22,'Condo 99LH'!J22,'FH Condo'!J22,'HDB 2005'!J22,'HDB 2015'!J22,'FH Landed (Prime)'!J22)</f>
        <v>149121.56875096215</v>
      </c>
      <c r="E15" s="150">
        <f>CHOOSE($C$5,'HDB 1984'!K22,'Condo 99LH'!K22,'FH Condo'!K22,'HDB 2005'!K22,'HDB 2015'!K22,'FH Landed (Prime)'!K22)</f>
        <v>202709.23546752002</v>
      </c>
      <c r="F15" s="150">
        <f>CHOOSE($C$5,'HDB 1984'!L22,'Condo 99LH'!L22,'FH Condo'!L22,'HDB 2005'!L22,'HDB 2015'!L22,'FH Landed (Prime)'!L22)</f>
        <v>51654.047704281606</v>
      </c>
      <c r="G15" s="150">
        <f>CHOOSE($C$5,'HDB 1984'!M22,'Condo 99LH'!M22,'FH Condo'!M22,'HDB 2005'!M22,'HDB 2015'!M22,'FH Landed (Prime)'!M22)</f>
        <v>77544.150585454641</v>
      </c>
      <c r="H15" s="150">
        <f>CHOOSE($C$5,'HDB 1984'!N22,'Condo 99LH'!N22,'FH Condo'!N22,'HDB 2005'!N22,'HDB 2015'!N22,'FH Landed (Prime)'!N22)</f>
        <v>438227.42194048275</v>
      </c>
      <c r="I15" s="150">
        <f>CHOOSE($C$5,'HDB 1984'!F22,'Condo 99LH'!F22,'FH Condo'!F22,'HDB 2005'!F22,'HDB 2015'!F22,'FH Landed (Prime)'!F22)</f>
        <v>9849702.9585937504</v>
      </c>
      <c r="J15" s="150">
        <f>CHOOSE($C$5,'HDB 1984'!G22,'Condo 99LH'!G22,'FH Condo'!G22,'HDB 2005'!G22,'HDB 2015'!G22,'FH Landed (Prime)'!G22)</f>
        <v>4248955.2762342552</v>
      </c>
      <c r="K15" s="158">
        <f>CHOOSE($C$5,'HDB 1984'!Q22,'Condo 99LH'!Q22,'FH Condo'!Q22,'HDB 2005'!Q22,'HDB 2015'!Q22,'FH Landed (Prime)'!Q22)</f>
        <v>5544141.9562590318</v>
      </c>
      <c r="M15" s="144">
        <f t="shared" si="0"/>
        <v>7</v>
      </c>
      <c r="N15" s="144">
        <f t="shared" si="1"/>
        <v>73511.037177783772</v>
      </c>
      <c r="O15" s="144">
        <f t="shared" si="2"/>
        <v>149121.56875096215</v>
      </c>
      <c r="P15" s="144">
        <f t="shared" si="3"/>
        <v>77544.150585454641</v>
      </c>
      <c r="Q15" s="144">
        <f t="shared" si="4"/>
        <v>51654.047704281606</v>
      </c>
      <c r="S15">
        <f t="shared" si="5"/>
        <v>7</v>
      </c>
      <c r="T15">
        <f t="shared" si="6"/>
        <v>9849702.9585937504</v>
      </c>
      <c r="U15">
        <f t="shared" si="7"/>
        <v>4248955.2762342552</v>
      </c>
      <c r="V15">
        <f t="shared" si="8"/>
        <v>5544141.9562590318</v>
      </c>
    </row>
    <row r="16" spans="1:22" x14ac:dyDescent="0.2">
      <c r="A16" s="170">
        <v>8</v>
      </c>
      <c r="B16" s="166">
        <f t="shared" si="9"/>
        <v>222632.60592874591</v>
      </c>
      <c r="C16" s="166">
        <f>CHOOSE($C$5,'HDB 1984'!I23,'Condo 99LH'!I23,'FH Condo'!I23,'HDB 2005'!I23,'HDB 2015'!I23,'FH Landed (Prime)'!I23)</f>
        <v>71000.042665874396</v>
      </c>
      <c r="D16" s="166">
        <f>CHOOSE($C$5,'HDB 1984'!J23,'Condo 99LH'!J23,'FH Condo'!J23,'HDB 2005'!J23,'HDB 2015'!J23,'FH Landed (Prime)'!J23)</f>
        <v>151632.56326287152</v>
      </c>
      <c r="E16" s="166">
        <f>CHOOSE($C$5,'HDB 1984'!K23,'Condo 99LH'!K23,'FH Condo'!K23,'HDB 2005'!K23,'HDB 2015'!K23,'FH Landed (Prime)'!K23)</f>
        <v>206763.42017687036</v>
      </c>
      <c r="F16" s="166">
        <f>CHOOSE($C$5,'HDB 1984'!L23,'Condo 99LH'!L23,'FH Condo'!L23,'HDB 2005'!L23,'HDB 2015'!L23,'FH Landed (Prime)'!L23)</f>
        <v>52991.928658367222</v>
      </c>
      <c r="G16" s="166">
        <f>CHOOSE($C$5,'HDB 1984'!M23,'Condo 99LH'!M23,'FH Condo'!M23,'HDB 2005'!M23,'HDB 2015'!M23,'FH Landed (Prime)'!M23)</f>
        <v>82771.448852628731</v>
      </c>
      <c r="H16" s="166">
        <f>CHOOSE($C$5,'HDB 1984'!N23,'Condo 99LH'!N23,'FH Condo'!N23,'HDB 2005'!N23,'HDB 2015'!N23,'FH Landed (Prime)'!N23)</f>
        <v>520998.87079311151</v>
      </c>
      <c r="I16" s="166">
        <f>CHOOSE($C$5,'HDB 1984'!F23,'Condo 99LH'!F23,'FH Condo'!F23,'HDB 2005'!F23,'HDB 2015'!F23,'FH Landed (Prime)'!F23)</f>
        <v>10342188.106523437</v>
      </c>
      <c r="J16" s="166">
        <f>CHOOSE($C$5,'HDB 1984'!G23,'Condo 99LH'!G23,'FH Condo'!G23,'HDB 2005'!G23,'HDB 2015'!G23,'FH Landed (Prime)'!G23)</f>
        <v>4096155.9897096134</v>
      </c>
      <c r="K16" s="172">
        <f>CHOOSE($C$5,'HDB 1984'!Q23,'Condo 99LH'!Q23,'FH Condo'!Q23,'HDB 2005'!Q23,'HDB 2015'!Q23,'FH Landed (Prime)'!Q23)</f>
        <v>6180511.2475608485</v>
      </c>
      <c r="M16" s="144">
        <f t="shared" si="0"/>
        <v>8</v>
      </c>
      <c r="N16" s="144">
        <f t="shared" si="1"/>
        <v>71000.042665874396</v>
      </c>
      <c r="O16" s="144">
        <f t="shared" si="2"/>
        <v>151632.56326287152</v>
      </c>
      <c r="P16" s="144">
        <f t="shared" si="3"/>
        <v>82771.448852628731</v>
      </c>
      <c r="Q16" s="144">
        <f t="shared" si="4"/>
        <v>52991.928658367222</v>
      </c>
      <c r="S16">
        <f t="shared" si="5"/>
        <v>8</v>
      </c>
      <c r="T16">
        <f t="shared" si="6"/>
        <v>10342188.106523437</v>
      </c>
      <c r="U16">
        <f t="shared" si="7"/>
        <v>4096155.9897096134</v>
      </c>
      <c r="V16">
        <f t="shared" si="8"/>
        <v>6180511.2475608485</v>
      </c>
    </row>
    <row r="17" spans="1:22" x14ac:dyDescent="0.2">
      <c r="A17" s="169">
        <v>9</v>
      </c>
      <c r="B17" s="150">
        <f t="shared" si="9"/>
        <v>222632.60592874591</v>
      </c>
      <c r="C17" s="150">
        <f>CHOOSE($C$5,'HDB 1984'!I24,'Condo 99LH'!I24,'FH Condo'!I24,'HDB 2005'!I24,'HDB 2015'!I24,'FH Landed (Prime)'!I24)</f>
        <v>68446.766588047642</v>
      </c>
      <c r="D17" s="150">
        <f>CHOOSE($C$5,'HDB 1984'!J24,'Condo 99LH'!J24,'FH Condo'!J24,'HDB 2005'!J24,'HDB 2015'!J24,'FH Landed (Prime)'!J24)</f>
        <v>154185.83934069827</v>
      </c>
      <c r="E17" s="150">
        <f>CHOOSE($C$5,'HDB 1984'!K24,'Condo 99LH'!K24,'FH Condo'!K24,'HDB 2005'!K24,'HDB 2015'!K24,'FH Landed (Prime)'!K24)</f>
        <v>210898.68858040779</v>
      </c>
      <c r="F17" s="150">
        <f>CHOOSE($C$5,'HDB 1984'!L24,'Condo 99LH'!L24,'FH Condo'!L24,'HDB 2005'!L24,'HDB 2015'!L24,'FH Landed (Prime)'!L24)</f>
        <v>54356.567231534573</v>
      </c>
      <c r="G17" s="150">
        <f>CHOOSE($C$5,'HDB 1984'!M24,'Condo 99LH'!M24,'FH Condo'!M24,'HDB 2005'!M24,'HDB 2015'!M24,'FH Landed (Prime)'!M24)</f>
        <v>88095.354760825576</v>
      </c>
      <c r="H17" s="150">
        <f>CHOOSE($C$5,'HDB 1984'!N24,'Condo 99LH'!N24,'FH Condo'!N24,'HDB 2005'!N24,'HDB 2015'!N24,'FH Landed (Prime)'!N24)</f>
        <v>609094.22555393702</v>
      </c>
      <c r="I17" s="150">
        <f>CHOOSE($C$5,'HDB 1984'!F24,'Condo 99LH'!F24,'FH Condo'!F24,'HDB 2005'!F24,'HDB 2015'!F24,'FH Landed (Prime)'!F24)</f>
        <v>10859297.51184961</v>
      </c>
      <c r="J17" s="150">
        <f>CHOOSE($C$5,'HDB 1984'!G24,'Condo 99LH'!G24,'FH Condo'!G24,'HDB 2005'!G24,'HDB 2015'!G24,'FH Landed (Prime)'!G24)</f>
        <v>3940783.7811516235</v>
      </c>
      <c r="K17" s="158">
        <f>CHOOSE($C$5,'HDB 1984'!Q24,'Condo 99LH'!Q24,'FH Condo'!Q24,'HDB 2005'!Q24,'HDB 2015'!Q24,'FH Landed (Prime)'!Q24)</f>
        <v>6843854.8397136871</v>
      </c>
      <c r="M17" s="144">
        <f t="shared" si="0"/>
        <v>9</v>
      </c>
      <c r="N17" s="144">
        <f t="shared" si="1"/>
        <v>68446.766588047642</v>
      </c>
      <c r="O17" s="144">
        <f t="shared" si="2"/>
        <v>154185.83934069827</v>
      </c>
      <c r="P17" s="144">
        <f t="shared" si="3"/>
        <v>88095.354760825576</v>
      </c>
      <c r="Q17" s="144">
        <f t="shared" si="4"/>
        <v>54356.567231534573</v>
      </c>
      <c r="S17">
        <f t="shared" si="5"/>
        <v>9</v>
      </c>
      <c r="T17">
        <f t="shared" si="6"/>
        <v>10859297.51184961</v>
      </c>
      <c r="U17">
        <f t="shared" si="7"/>
        <v>3940783.7811516235</v>
      </c>
      <c r="V17">
        <f t="shared" si="8"/>
        <v>6843854.8397136871</v>
      </c>
    </row>
    <row r="18" spans="1:22" x14ac:dyDescent="0.2">
      <c r="A18" s="170">
        <v>10</v>
      </c>
      <c r="B18" s="166">
        <f t="shared" si="9"/>
        <v>222632.60592874591</v>
      </c>
      <c r="C18" s="166">
        <f>CHOOSE($C$5,'HDB 1984'!I25,'Condo 99LH'!I25,'FH Condo'!I25,'HDB 2005'!I25,'HDB 2015'!I25,'FH Landed (Prime)'!I25)</f>
        <v>65850.496983043631</v>
      </c>
      <c r="D18" s="166">
        <f>CHOOSE($C$5,'HDB 1984'!J25,'Condo 99LH'!J25,'FH Condo'!J25,'HDB 2005'!J25,'HDB 2015'!J25,'FH Landed (Prime)'!J25)</f>
        <v>156782.10894570226</v>
      </c>
      <c r="E18" s="166">
        <f>CHOOSE($C$5,'HDB 1984'!K25,'Condo 99LH'!K25,'FH Condo'!K25,'HDB 2005'!K25,'HDB 2015'!K25,'FH Landed (Prime)'!K25)</f>
        <v>215116.66235201596</v>
      </c>
      <c r="F18" s="166">
        <f>CHOOSE($C$5,'HDB 1984'!L25,'Condo 99LH'!L25,'FH Condo'!L25,'HDB 2005'!L25,'HDB 2015'!L25,'FH Landed (Prime)'!L25)</f>
        <v>55748.498576165264</v>
      </c>
      <c r="G18" s="166">
        <f>CHOOSE($C$5,'HDB 1984'!M25,'Condo 99LH'!M25,'FH Condo'!M25,'HDB 2005'!M25,'HDB 2015'!M25,'FH Landed (Prime)'!M25)</f>
        <v>93517.666792807082</v>
      </c>
      <c r="H18" s="166">
        <f>CHOOSE($C$5,'HDB 1984'!N25,'Condo 99LH'!N25,'FH Condo'!N25,'HDB 2005'!N25,'HDB 2015'!N25,'FH Landed (Prime)'!N25)</f>
        <v>702611.89234674408</v>
      </c>
      <c r="I18" s="166">
        <f>CHOOSE($C$5,'HDB 1984'!F25,'Condo 99LH'!F25,'FH Condo'!F25,'HDB 2005'!F25,'HDB 2015'!F25,'FH Landed (Prime)'!F25)</f>
        <v>11402262.387442091</v>
      </c>
      <c r="J18" s="166">
        <f>CHOOSE($C$5,'HDB 1984'!G25,'Condo 99LH'!G25,'FH Condo'!G25,'HDB 2005'!G25,'HDB 2015'!G25,'FH Landed (Prime)'!G25)</f>
        <v>3782795.326223236</v>
      </c>
      <c r="K18" s="172">
        <f>CHOOSE($C$5,'HDB 1984'!Q25,'Condo 99LH'!Q25,'FH Condo'!Q25,'HDB 2005'!Q25,'HDB 2015'!Q25,'FH Landed (Prime)'!Q25)</f>
        <v>7535441.6979599483</v>
      </c>
      <c r="M18" s="144">
        <f t="shared" si="0"/>
        <v>10</v>
      </c>
      <c r="N18" s="144">
        <f t="shared" si="1"/>
        <v>65850.496983043631</v>
      </c>
      <c r="O18" s="144">
        <f t="shared" si="2"/>
        <v>156782.10894570226</v>
      </c>
      <c r="P18" s="144">
        <f t="shared" si="3"/>
        <v>93517.666792807082</v>
      </c>
      <c r="Q18" s="144">
        <f t="shared" si="4"/>
        <v>55748.498576165264</v>
      </c>
      <c r="S18">
        <f t="shared" si="5"/>
        <v>10</v>
      </c>
      <c r="T18">
        <f t="shared" si="6"/>
        <v>11402262.387442091</v>
      </c>
      <c r="U18">
        <f t="shared" si="7"/>
        <v>3782795.326223236</v>
      </c>
      <c r="V18">
        <f t="shared" si="8"/>
        <v>7535441.6979599483</v>
      </c>
    </row>
    <row r="19" spans="1:22" x14ac:dyDescent="0.2">
      <c r="A19" s="169">
        <v>11</v>
      </c>
      <c r="B19" s="150">
        <f t="shared" si="9"/>
        <v>222632.60592874591</v>
      </c>
      <c r="C19" s="150">
        <f>CHOOSE($C$5,'HDB 1984'!I26,'Condo 99LH'!I26,'FH Condo'!I26,'HDB 2005'!I26,'HDB 2015'!I26,'FH Landed (Prime)'!I26)</f>
        <v>63210.509901190271</v>
      </c>
      <c r="D19" s="150">
        <f>CHOOSE($C$5,'HDB 1984'!J26,'Condo 99LH'!J26,'FH Condo'!J26,'HDB 2005'!J26,'HDB 2015'!J26,'FH Landed (Prime)'!J26)</f>
        <v>159422.09602755564</v>
      </c>
      <c r="E19" s="150">
        <f>CHOOSE($C$5,'HDB 1984'!K26,'Condo 99LH'!K26,'FH Condo'!K26,'HDB 2005'!K26,'HDB 2015'!K26,'FH Landed (Prime)'!K26)</f>
        <v>219418.99559905627</v>
      </c>
      <c r="F19" s="150">
        <f>CHOOSE($C$5,'HDB 1984'!L26,'Condo 99LH'!L26,'FH Condo'!L26,'HDB 2005'!L26,'HDB 2015'!L26,'FH Landed (Prime)'!L26)</f>
        <v>57168.268547688574</v>
      </c>
      <c r="G19" s="150">
        <f>CHOOSE($C$5,'HDB 1984'!M26,'Condo 99LH'!M26,'FH Condo'!M26,'HDB 2005'!M26,'HDB 2015'!M26,'FH Landed (Prime)'!M26)</f>
        <v>99040.217150177428</v>
      </c>
      <c r="H19" s="150">
        <f>CHOOSE($C$5,'HDB 1984'!N26,'Condo 99LH'!N26,'FH Condo'!N26,'HDB 2005'!N26,'HDB 2015'!N26,'FH Landed (Prime)'!N26)</f>
        <v>801652.10949692153</v>
      </c>
      <c r="I19" s="150">
        <f>CHOOSE($C$5,'HDB 1984'!F26,'Condo 99LH'!F26,'FH Condo'!F26,'HDB 2005'!F26,'HDB 2015'!F26,'FH Landed (Prime)'!F26)</f>
        <v>11972375.506814197</v>
      </c>
      <c r="J19" s="150">
        <f>CHOOSE($C$5,'HDB 1984'!G26,'Condo 99LH'!G26,'FH Condo'!G26,'HDB 2005'!G26,'HDB 2015'!G26,'FH Landed (Prime)'!G26)</f>
        <v>3622146.5710673728</v>
      </c>
      <c r="K19" s="158">
        <f>CHOOSE($C$5,'HDB 1984'!Q26,'Condo 99LH'!Q26,'FH Condo'!Q26,'HDB 2005'!Q26,'HDB 2015'!Q26,'FH Landed (Prime)'!Q26)</f>
        <v>8256602.9384064442</v>
      </c>
      <c r="M19" s="144">
        <f t="shared" si="0"/>
        <v>11</v>
      </c>
      <c r="N19" s="144">
        <f t="shared" si="1"/>
        <v>63210.509901190271</v>
      </c>
      <c r="O19" s="144">
        <f t="shared" si="2"/>
        <v>159422.09602755564</v>
      </c>
      <c r="P19" s="144">
        <f t="shared" si="3"/>
        <v>99040.217150177428</v>
      </c>
      <c r="Q19" s="144">
        <f t="shared" si="4"/>
        <v>57168.268547688574</v>
      </c>
      <c r="S19">
        <f t="shared" si="5"/>
        <v>11</v>
      </c>
      <c r="T19">
        <f t="shared" si="6"/>
        <v>11972375.506814197</v>
      </c>
      <c r="U19">
        <f t="shared" si="7"/>
        <v>3622146.5710673728</v>
      </c>
      <c r="V19">
        <f t="shared" si="8"/>
        <v>8256602.9384064442</v>
      </c>
    </row>
    <row r="20" spans="1:22" x14ac:dyDescent="0.2">
      <c r="A20" s="170">
        <v>12</v>
      </c>
      <c r="B20" s="166">
        <f t="shared" si="9"/>
        <v>222632.60592874591</v>
      </c>
      <c r="C20" s="166">
        <f>CHOOSE($C$5,'HDB 1984'!I27,'Condo 99LH'!I27,'FH Condo'!I27,'HDB 2005'!I27,'HDB 2015'!I27,'FH Landed (Prime)'!I27)</f>
        <v>60526.069202535793</v>
      </c>
      <c r="D20" s="166">
        <f>CHOOSE($C$5,'HDB 1984'!J27,'Condo 99LH'!J27,'FH Condo'!J27,'HDB 2005'!J27,'HDB 2015'!J27,'FH Landed (Prime)'!J27)</f>
        <v>162106.53672621012</v>
      </c>
      <c r="E20" s="166">
        <f>CHOOSE($C$5,'HDB 1984'!K27,'Condo 99LH'!K27,'FH Condo'!K27,'HDB 2005'!K27,'HDB 2015'!K27,'FH Landed (Prime)'!K27)</f>
        <v>223807.37551103736</v>
      </c>
      <c r="F20" s="166">
        <f>CHOOSE($C$5,'HDB 1984'!L27,'Condo 99LH'!L27,'FH Condo'!L27,'HDB 2005'!L27,'HDB 2015'!L27,'FH Landed (Prime)'!L27)</f>
        <v>58616.433918642331</v>
      </c>
      <c r="G20" s="166">
        <f>CHOOSE($C$5,'HDB 1984'!M27,'Condo 99LH'!M27,'FH Condo'!M27,'HDB 2005'!M27,'HDB 2015'!M27,'FH Landed (Prime)'!M27)</f>
        <v>104664.87238985924</v>
      </c>
      <c r="H20" s="166">
        <f>CHOOSE($C$5,'HDB 1984'!N27,'Condo 99LH'!N27,'FH Condo'!N27,'HDB 2005'!N27,'HDB 2015'!N27,'FH Landed (Prime)'!N27)</f>
        <v>906316.98188678082</v>
      </c>
      <c r="I20" s="166">
        <f>CHOOSE($C$5,'HDB 1984'!F27,'Condo 99LH'!F27,'FH Condo'!F27,'HDB 2005'!F27,'HDB 2015'!F27,'FH Landed (Prime)'!F27)</f>
        <v>12570994.282154907</v>
      </c>
      <c r="J20" s="166">
        <f>CHOOSE($C$5,'HDB 1984'!G27,'Condo 99LH'!G27,'FH Condo'!G27,'HDB 2005'!G27,'HDB 2015'!G27,'FH Landed (Prime)'!G27)</f>
        <v>3458792.7200228297</v>
      </c>
      <c r="K20" s="172">
        <f>CHOOSE($C$5,'HDB 1984'!Q27,'Condo 99LH'!Q27,'FH Condo'!Q27,'HDB 2005'!Q27,'HDB 2015'!Q27,'FH Landed (Prime)'!Q27)</f>
        <v>9008734.9148581885</v>
      </c>
      <c r="M20" s="144">
        <f t="shared" si="0"/>
        <v>12</v>
      </c>
      <c r="N20" s="144">
        <f t="shared" si="1"/>
        <v>60526.069202535793</v>
      </c>
      <c r="O20" s="144">
        <f t="shared" si="2"/>
        <v>162106.53672621012</v>
      </c>
      <c r="P20" s="144">
        <f t="shared" si="3"/>
        <v>104664.87238985924</v>
      </c>
      <c r="Q20" s="144">
        <f t="shared" si="4"/>
        <v>58616.433918642331</v>
      </c>
      <c r="S20">
        <f t="shared" si="5"/>
        <v>12</v>
      </c>
      <c r="T20">
        <f t="shared" si="6"/>
        <v>12570994.282154907</v>
      </c>
      <c r="U20">
        <f t="shared" si="7"/>
        <v>3458792.7200228297</v>
      </c>
      <c r="V20">
        <f t="shared" si="8"/>
        <v>9008734.9148581885</v>
      </c>
    </row>
    <row r="21" spans="1:22" x14ac:dyDescent="0.2">
      <c r="A21" s="169">
        <v>13</v>
      </c>
      <c r="B21" s="150">
        <f t="shared" si="9"/>
        <v>222632.60592874591</v>
      </c>
      <c r="C21" s="150">
        <f>CHOOSE($C$5,'HDB 1984'!I28,'Condo 99LH'!I28,'FH Condo'!I28,'HDB 2005'!I28,'HDB 2015'!I28,'FH Landed (Prime)'!I28)</f>
        <v>57796.426351581482</v>
      </c>
      <c r="D21" s="150">
        <f>CHOOSE($C$5,'HDB 1984'!J28,'Condo 99LH'!J28,'FH Condo'!J28,'HDB 2005'!J28,'HDB 2015'!J28,'FH Landed (Prime)'!J28)</f>
        <v>164836.17957716441</v>
      </c>
      <c r="E21" s="150">
        <f>CHOOSE($C$5,'HDB 1984'!K28,'Condo 99LH'!K28,'FH Condo'!K28,'HDB 2005'!K28,'HDB 2015'!K28,'FH Landed (Prime)'!K28)</f>
        <v>228283.52302125815</v>
      </c>
      <c r="F21" s="150">
        <f>CHOOSE($C$5,'HDB 1984'!L28,'Condo 99LH'!L28,'FH Condo'!L28,'HDB 2005'!L28,'HDB 2015'!L28,'FH Landed (Prime)'!L28)</f>
        <v>60093.562597015189</v>
      </c>
      <c r="G21" s="150">
        <f>CHOOSE($C$5,'HDB 1984'!M28,'Condo 99LH'!M28,'FH Condo'!M28,'HDB 2005'!M28,'HDB 2015'!M28,'FH Landed (Prime)'!M28)</f>
        <v>110393.53407266147</v>
      </c>
      <c r="H21" s="150">
        <f>CHOOSE($C$5,'HDB 1984'!N28,'Condo 99LH'!N28,'FH Condo'!N28,'HDB 2005'!N28,'HDB 2015'!N28,'FH Landed (Prime)'!N28)</f>
        <v>1016710.5159594422</v>
      </c>
      <c r="I21" s="150">
        <f>CHOOSE($C$5,'HDB 1984'!F28,'Condo 99LH'!F28,'FH Condo'!F28,'HDB 2005'!F28,'HDB 2015'!F28,'FH Landed (Prime)'!F28)</f>
        <v>13199543.996262653</v>
      </c>
      <c r="J21" s="150">
        <f>CHOOSE($C$5,'HDB 1984'!G28,'Condo 99LH'!G28,'FH Condo'!G28,'HDB 2005'!G28,'HDB 2015'!G28,'FH Landed (Prime)'!G28)</f>
        <v>3292688.2231333717</v>
      </c>
      <c r="K21" s="158">
        <f>CHOOSE($C$5,'HDB 1984'!Q28,'Condo 99LH'!Q28,'FH Condo'!Q28,'HDB 2005'!Q28,'HDB 2015'!Q28,'FH Landed (Prime)'!Q28)</f>
        <v>9793302.4596735444</v>
      </c>
      <c r="M21" s="144">
        <f t="shared" si="0"/>
        <v>13</v>
      </c>
      <c r="N21" s="144">
        <f t="shared" si="1"/>
        <v>57796.426351581482</v>
      </c>
      <c r="O21" s="144">
        <f t="shared" si="2"/>
        <v>164836.17957716441</v>
      </c>
      <c r="P21" s="144">
        <f t="shared" si="3"/>
        <v>110393.53407266147</v>
      </c>
      <c r="Q21" s="144">
        <f t="shared" si="4"/>
        <v>60093.562597015189</v>
      </c>
      <c r="S21">
        <f t="shared" si="5"/>
        <v>13</v>
      </c>
      <c r="T21">
        <f t="shared" si="6"/>
        <v>13199543.996262653</v>
      </c>
      <c r="U21">
        <f t="shared" si="7"/>
        <v>3292688.2231333717</v>
      </c>
      <c r="V21">
        <f t="shared" si="8"/>
        <v>9793302.4596735444</v>
      </c>
    </row>
    <row r="22" spans="1:22" x14ac:dyDescent="0.2">
      <c r="A22" s="170">
        <v>14</v>
      </c>
      <c r="B22" s="166">
        <f t="shared" si="9"/>
        <v>222632.60592874591</v>
      </c>
      <c r="C22" s="166">
        <f>CHOOSE($C$5,'HDB 1984'!I29,'Condo 99LH'!I29,'FH Condo'!I29,'HDB 2005'!I29,'HDB 2015'!I29,'FH Landed (Prime)'!I29)</f>
        <v>55020.820208558638</v>
      </c>
      <c r="D22" s="166">
        <f>CHOOSE($C$5,'HDB 1984'!J29,'Condo 99LH'!J29,'FH Condo'!J29,'HDB 2005'!J29,'HDB 2015'!J29,'FH Landed (Prime)'!J29)</f>
        <v>167611.78572018727</v>
      </c>
      <c r="E22" s="166">
        <f>CHOOSE($C$5,'HDB 1984'!K29,'Condo 99LH'!K29,'FH Condo'!K29,'HDB 2005'!K29,'HDB 2015'!K29,'FH Landed (Prime)'!K29)</f>
        <v>232849.19348168329</v>
      </c>
      <c r="F22" s="166">
        <f>CHOOSE($C$5,'HDB 1984'!L29,'Condo 99LH'!L29,'FH Condo'!L29,'HDB 2005'!L29,'HDB 2015'!L29,'FH Landed (Prime)'!L29)</f>
        <v>61600.23384895549</v>
      </c>
      <c r="G22" s="166">
        <f>CHOOSE($C$5,'HDB 1984'!M29,'Condo 99LH'!M29,'FH Condo'!M29,'HDB 2005'!M29,'HDB 2015'!M29,'FH Landed (Prime)'!M29)</f>
        <v>116228.13942416917</v>
      </c>
      <c r="H22" s="166">
        <f>CHOOSE($C$5,'HDB 1984'!N29,'Condo 99LH'!N29,'FH Condo'!N29,'HDB 2005'!N29,'HDB 2015'!N29,'FH Landed (Prime)'!N29)</f>
        <v>1132938.6553836113</v>
      </c>
      <c r="I22" s="166">
        <f>CHOOSE($C$5,'HDB 1984'!F29,'Condo 99LH'!F29,'FH Condo'!F29,'HDB 2005'!F29,'HDB 2015'!F29,'FH Landed (Prime)'!F29)</f>
        <v>13859521.196075786</v>
      </c>
      <c r="J22" s="166">
        <f>CHOOSE($C$5,'HDB 1984'!G29,'Condo 99LH'!G29,'FH Condo'!G29,'HDB 2005'!G29,'HDB 2015'!G29,'FH Landed (Prime)'!G29)</f>
        <v>3123786.7634464684</v>
      </c>
      <c r="K22" s="172">
        <f>CHOOSE($C$5,'HDB 1984'!Q29,'Condo 99LH'!Q29,'FH Condo'!Q29,'HDB 2005'!Q29,'HDB 2015'!Q29,'FH Landed (Prime)'!Q29)</f>
        <v>10611842.286337188</v>
      </c>
      <c r="M22" s="144">
        <f t="shared" si="0"/>
        <v>14</v>
      </c>
      <c r="N22" s="144">
        <f t="shared" si="1"/>
        <v>55020.820208558638</v>
      </c>
      <c r="O22" s="144">
        <f t="shared" si="2"/>
        <v>167611.78572018727</v>
      </c>
      <c r="P22" s="144">
        <f t="shared" si="3"/>
        <v>116228.13942416917</v>
      </c>
      <c r="Q22" s="144">
        <f t="shared" si="4"/>
        <v>61600.23384895549</v>
      </c>
      <c r="S22">
        <f t="shared" si="5"/>
        <v>14</v>
      </c>
      <c r="T22">
        <f t="shared" si="6"/>
        <v>13859521.196075786</v>
      </c>
      <c r="U22">
        <f t="shared" si="7"/>
        <v>3123786.7634464684</v>
      </c>
      <c r="V22">
        <f t="shared" si="8"/>
        <v>10611842.286337188</v>
      </c>
    </row>
    <row r="23" spans="1:22" x14ac:dyDescent="0.2">
      <c r="A23" s="169">
        <v>15</v>
      </c>
      <c r="B23" s="150">
        <f t="shared" si="9"/>
        <v>222632.60592874591</v>
      </c>
      <c r="C23" s="150">
        <f>CHOOSE($C$5,'HDB 1984'!I30,'Condo 99LH'!I30,'FH Condo'!I30,'HDB 2005'!I30,'HDB 2015'!I30,'FH Landed (Prime)'!I30)</f>
        <v>52198.476817190487</v>
      </c>
      <c r="D23" s="150">
        <f>CHOOSE($C$5,'HDB 1984'!J30,'Condo 99LH'!J30,'FH Condo'!J30,'HDB 2005'!J30,'HDB 2015'!J30,'FH Landed (Prime)'!J30)</f>
        <v>170434.1291115554</v>
      </c>
      <c r="E23" s="150">
        <f>CHOOSE($C$5,'HDB 1984'!K30,'Condo 99LH'!K30,'FH Condo'!K30,'HDB 2005'!K30,'HDB 2015'!K30,'FH Landed (Prime)'!K30)</f>
        <v>237506.17735131699</v>
      </c>
      <c r="F23" s="150">
        <f>CHOOSE($C$5,'HDB 1984'!L30,'Condo 99LH'!L30,'FH Condo'!L30,'HDB 2005'!L30,'HDB 2015'!L30,'FH Landed (Prime)'!L30)</f>
        <v>63137.038525934608</v>
      </c>
      <c r="G23" s="150">
        <f>CHOOSE($C$5,'HDB 1984'!M30,'Condo 99LH'!M30,'FH Condo'!M30,'HDB 2005'!M30,'HDB 2015'!M30,'FH Landed (Prime)'!M30)</f>
        <v>122170.66200819188</v>
      </c>
      <c r="H23" s="150">
        <f>CHOOSE($C$5,'HDB 1984'!N30,'Condo 99LH'!N30,'FH Condo'!N30,'HDB 2005'!N30,'HDB 2015'!N30,'FH Landed (Prime)'!N30)</f>
        <v>1255109.3173918033</v>
      </c>
      <c r="I23" s="150">
        <f>CHOOSE($C$5,'HDB 1984'!F30,'Condo 99LH'!F30,'FH Condo'!F30,'HDB 2005'!F30,'HDB 2015'!F30,'FH Landed (Prime)'!F30)</f>
        <v>14552497.255879575</v>
      </c>
      <c r="J23" s="150">
        <f>CHOOSE($C$5,'HDB 1984'!G30,'Condo 99LH'!G30,'FH Condo'!G30,'HDB 2005'!G30,'HDB 2015'!G30,'FH Landed (Prime)'!G30)</f>
        <v>2952041.2440981786</v>
      </c>
      <c r="K23" s="158">
        <f>CHOOSE($C$5,'HDB 1984'!Q30,'Condo 99LH'!Q30,'FH Condo'!Q30,'HDB 2005'!Q30,'HDB 2015'!Q30,'FH Landed (Prime)'!Q30)</f>
        <v>11465966.561831962</v>
      </c>
      <c r="M23" s="144">
        <f t="shared" si="0"/>
        <v>15</v>
      </c>
      <c r="N23" s="144">
        <f t="shared" si="1"/>
        <v>52198.476817190487</v>
      </c>
      <c r="O23" s="144">
        <f t="shared" si="2"/>
        <v>170434.1291115554</v>
      </c>
      <c r="P23" s="144">
        <f t="shared" si="3"/>
        <v>122170.66200819188</v>
      </c>
      <c r="Q23" s="144">
        <f t="shared" si="4"/>
        <v>63137.038525934608</v>
      </c>
      <c r="S23">
        <f t="shared" si="5"/>
        <v>15</v>
      </c>
      <c r="T23">
        <f t="shared" si="6"/>
        <v>14552497.255879575</v>
      </c>
      <c r="U23">
        <f t="shared" si="7"/>
        <v>2952041.2440981786</v>
      </c>
      <c r="V23">
        <f t="shared" si="8"/>
        <v>11465966.561831962</v>
      </c>
    </row>
    <row r="24" spans="1:22" x14ac:dyDescent="0.2">
      <c r="A24" s="170">
        <v>16</v>
      </c>
      <c r="B24" s="166">
        <f t="shared" si="9"/>
        <v>222632.60592874591</v>
      </c>
      <c r="C24" s="166">
        <f>CHOOSE($C$5,'HDB 1984'!I31,'Condo 99LH'!I31,'FH Condo'!I31,'HDB 2005'!I31,'HDB 2015'!I31,'FH Landed (Prime)'!I31)</f>
        <v>49328.60918888056</v>
      </c>
      <c r="D24" s="166">
        <f>CHOOSE($C$5,'HDB 1984'!J31,'Condo 99LH'!J31,'FH Condo'!J31,'HDB 2005'!J31,'HDB 2015'!J31,'FH Landed (Prime)'!J31)</f>
        <v>173303.99673986534</v>
      </c>
      <c r="E24" s="166">
        <f>CHOOSE($C$5,'HDB 1984'!K31,'Condo 99LH'!K31,'FH Condo'!K31,'HDB 2005'!K31,'HDB 2015'!K31,'FH Landed (Prime)'!K31)</f>
        <v>242256.30089834327</v>
      </c>
      <c r="F24" s="166">
        <f>CHOOSE($C$5,'HDB 1984'!L31,'Condo 99LH'!L31,'FH Condo'!L31,'HDB 2005'!L31,'HDB 2015'!L31,'FH Landed (Prime)'!L31)</f>
        <v>64704.579296453274</v>
      </c>
      <c r="G24" s="166">
        <f>CHOOSE($C$5,'HDB 1984'!M31,'Condo 99LH'!M31,'FH Condo'!M31,'HDB 2005'!M31,'HDB 2015'!M31,'FH Landed (Prime)'!M31)</f>
        <v>128223.11241300942</v>
      </c>
      <c r="H24" s="166">
        <f>CHOOSE($C$5,'HDB 1984'!N31,'Condo 99LH'!N31,'FH Condo'!N31,'HDB 2005'!N31,'HDB 2015'!N31,'FH Landed (Prime)'!N31)</f>
        <v>1383332.4298048127</v>
      </c>
      <c r="I24" s="166">
        <f>CHOOSE($C$5,'HDB 1984'!F31,'Condo 99LH'!F31,'FH Condo'!F31,'HDB 2005'!F31,'HDB 2015'!F31,'FH Landed (Prime)'!F31)</f>
        <v>15280122.118673556</v>
      </c>
      <c r="J24" s="166">
        <f>CHOOSE($C$5,'HDB 1984'!G31,'Condo 99LH'!G31,'FH Condo'!G31,'HDB 2005'!G31,'HDB 2015'!G31,'FH Landed (Prime)'!G31)</f>
        <v>2777403.7751805508</v>
      </c>
      <c r="K24" s="172">
        <f>CHOOSE($C$5,'HDB 1984'!Q31,'Condo 99LH'!Q31,'FH Condo'!Q31,'HDB 2005'!Q31,'HDB 2015'!Q31,'FH Landed (Prime)'!Q31)</f>
        <v>12357366.657294836</v>
      </c>
      <c r="M24" s="144">
        <f t="shared" si="0"/>
        <v>16</v>
      </c>
      <c r="N24" s="144">
        <f t="shared" si="1"/>
        <v>49328.60918888056</v>
      </c>
      <c r="O24" s="144">
        <f t="shared" si="2"/>
        <v>173303.99673986534</v>
      </c>
      <c r="P24" s="144">
        <f t="shared" si="3"/>
        <v>128223.11241300942</v>
      </c>
      <c r="Q24" s="144">
        <f t="shared" si="4"/>
        <v>64704.579296453274</v>
      </c>
      <c r="S24">
        <f t="shared" si="5"/>
        <v>16</v>
      </c>
      <c r="T24">
        <f t="shared" si="6"/>
        <v>15280122.118673556</v>
      </c>
      <c r="U24">
        <f t="shared" si="7"/>
        <v>2777403.7751805508</v>
      </c>
      <c r="V24">
        <f t="shared" si="8"/>
        <v>12357366.657294836</v>
      </c>
    </row>
    <row r="25" spans="1:22" x14ac:dyDescent="0.2">
      <c r="A25" s="169">
        <v>17</v>
      </c>
      <c r="B25" s="150">
        <f t="shared" si="9"/>
        <v>222632.60592874591</v>
      </c>
      <c r="C25" s="150">
        <f>CHOOSE($C$5,'HDB 1984'!I32,'Condo 99LH'!I32,'FH Condo'!I32,'HDB 2005'!I32,'HDB 2015'!I32,'FH Landed (Prime)'!I32)</f>
        <v>46410.417083266999</v>
      </c>
      <c r="D25" s="150">
        <f>CHOOSE($C$5,'HDB 1984'!J32,'Condo 99LH'!J32,'FH Condo'!J32,'HDB 2005'!J32,'HDB 2015'!J32,'FH Landed (Prime)'!J32)</f>
        <v>176222.1888454789</v>
      </c>
      <c r="E25" s="150">
        <f>CHOOSE($C$5,'HDB 1984'!K32,'Condo 99LH'!K32,'FH Condo'!K32,'HDB 2005'!K32,'HDB 2015'!K32,'FH Landed (Prime)'!K32)</f>
        <v>247101.42691631016</v>
      </c>
      <c r="F25" s="150">
        <f>CHOOSE($C$5,'HDB 1984'!L32,'Condo 99LH'!L32,'FH Condo'!L32,'HDB 2005'!L32,'HDB 2015'!L32,'FH Landed (Prime)'!L32)</f>
        <v>66303.47088238236</v>
      </c>
      <c r="G25" s="150">
        <f>CHOOSE($C$5,'HDB 1984'!M32,'Condo 99LH'!M32,'FH Condo'!M32,'HDB 2005'!M32,'HDB 2015'!M32,'FH Landed (Prime)'!M32)</f>
        <v>134387.53895066079</v>
      </c>
      <c r="H25" s="150">
        <f>CHOOSE($C$5,'HDB 1984'!N32,'Condo 99LH'!N32,'FH Condo'!N32,'HDB 2005'!N32,'HDB 2015'!N32,'FH Landed (Prime)'!N32)</f>
        <v>1517719.9687554734</v>
      </c>
      <c r="I25" s="150">
        <f>CHOOSE($C$5,'HDB 1984'!F32,'Condo 99LH'!F32,'FH Condo'!F32,'HDB 2005'!F32,'HDB 2015'!F32,'FH Landed (Prime)'!F32)</f>
        <v>16044128.224607235</v>
      </c>
      <c r="J25" s="150">
        <f>CHOOSE($C$5,'HDB 1984'!G32,'Condo 99LH'!G32,'FH Condo'!G32,'HDB 2005'!G32,'HDB 2015'!G32,'FH Landed (Prime)'!G32)</f>
        <v>2599825.6603878927</v>
      </c>
      <c r="K25" s="158">
        <f>CHOOSE($C$5,'HDB 1984'!Q32,'Condo 99LH'!Q32,'FH Condo'!Q32,'HDB 2005'!Q32,'HDB 2015'!Q32,'FH Landed (Prime)'!Q32)</f>
        <v>13287817.08586622</v>
      </c>
      <c r="M25" s="144">
        <f t="shared" si="0"/>
        <v>17</v>
      </c>
      <c r="N25" s="144">
        <f t="shared" si="1"/>
        <v>46410.417083266999</v>
      </c>
      <c r="O25" s="144">
        <f t="shared" si="2"/>
        <v>176222.1888454789</v>
      </c>
      <c r="P25" s="144">
        <f t="shared" si="3"/>
        <v>134387.53895066079</v>
      </c>
      <c r="Q25" s="144">
        <f t="shared" si="4"/>
        <v>66303.47088238236</v>
      </c>
      <c r="S25">
        <f t="shared" si="5"/>
        <v>17</v>
      </c>
      <c r="T25">
        <f t="shared" si="6"/>
        <v>16044128.224607235</v>
      </c>
      <c r="U25">
        <f t="shared" si="7"/>
        <v>2599825.6603878927</v>
      </c>
      <c r="V25">
        <f t="shared" si="8"/>
        <v>13287817.08586622</v>
      </c>
    </row>
    <row r="26" spans="1:22" x14ac:dyDescent="0.2">
      <c r="A26" s="170">
        <v>18</v>
      </c>
      <c r="B26" s="166">
        <f t="shared" si="9"/>
        <v>222632.60592874591</v>
      </c>
      <c r="C26" s="166">
        <f>CHOOSE($C$5,'HDB 1984'!I33,'Condo 99LH'!I33,'FH Condo'!I33,'HDB 2005'!I33,'HDB 2015'!I33,'FH Landed (Prime)'!I33)</f>
        <v>43443.086785081687</v>
      </c>
      <c r="D26" s="166">
        <f>CHOOSE($C$5,'HDB 1984'!J33,'Condo 99LH'!J33,'FH Condo'!J33,'HDB 2005'!J33,'HDB 2015'!J33,'FH Landed (Prime)'!J33)</f>
        <v>179189.51914366422</v>
      </c>
      <c r="E26" s="166">
        <f>CHOOSE($C$5,'HDB 1984'!K33,'Condo 99LH'!K33,'FH Condo'!K33,'HDB 2005'!K33,'HDB 2015'!K33,'FH Landed (Prime)'!K33)</f>
        <v>252043.45545463639</v>
      </c>
      <c r="F26" s="166">
        <f>CHOOSE($C$5,'HDB 1984'!L33,'Condo 99LH'!L33,'FH Condo'!L33,'HDB 2005'!L33,'HDB 2015'!L33,'FH Landed (Prime)'!L33)</f>
        <v>67934.340300030017</v>
      </c>
      <c r="G26" s="166">
        <f>CHOOSE($C$5,'HDB 1984'!M33,'Condo 99LH'!M33,'FH Condo'!M33,'HDB 2005'!M33,'HDB 2015'!M33,'FH Landed (Prime)'!M33)</f>
        <v>140666.02836952469</v>
      </c>
      <c r="H26" s="166">
        <f>CHOOSE($C$5,'HDB 1984'!N33,'Condo 99LH'!N33,'FH Condo'!N33,'HDB 2005'!N33,'HDB 2015'!N33,'FH Landed (Prime)'!N33)</f>
        <v>1658385.9971249981</v>
      </c>
      <c r="I26" s="166">
        <f>CHOOSE($C$5,'HDB 1984'!F33,'Condo 99LH'!F33,'FH Condo'!F33,'HDB 2005'!F33,'HDB 2015'!F33,'FH Landed (Prime)'!F33)</f>
        <v>16846334.635837596</v>
      </c>
      <c r="J26" s="166">
        <f>CHOOSE($C$5,'HDB 1984'!G33,'Condo 99LH'!G33,'FH Condo'!G33,'HDB 2005'!G33,'HDB 2015'!G33,'FH Landed (Prime)'!G33)</f>
        <v>2419257.383438176</v>
      </c>
      <c r="K26" s="172">
        <f>CHOOSE($C$5,'HDB 1984'!Q33,'Condo 99LH'!Q33,'FH Condo'!Q33,'HDB 2005'!Q33,'HDB 2015'!Q33,'FH Landed (Prime)'!Q33)</f>
        <v>14259179.63708747</v>
      </c>
      <c r="M26" s="144">
        <f t="shared" si="0"/>
        <v>18</v>
      </c>
      <c r="N26" s="144">
        <f t="shared" si="1"/>
        <v>43443.086785081687</v>
      </c>
      <c r="O26" s="144">
        <f t="shared" si="2"/>
        <v>179189.51914366422</v>
      </c>
      <c r="P26" s="144">
        <f t="shared" si="3"/>
        <v>140666.02836952469</v>
      </c>
      <c r="Q26" s="144">
        <f t="shared" si="4"/>
        <v>67934.340300030017</v>
      </c>
      <c r="S26">
        <f t="shared" si="5"/>
        <v>18</v>
      </c>
      <c r="T26">
        <f t="shared" si="6"/>
        <v>16846334.635837596</v>
      </c>
      <c r="U26">
        <f t="shared" si="7"/>
        <v>2419257.383438176</v>
      </c>
      <c r="V26">
        <f t="shared" si="8"/>
        <v>14259179.63708747</v>
      </c>
    </row>
    <row r="27" spans="1:22" x14ac:dyDescent="0.2">
      <c r="A27" s="169">
        <v>19</v>
      </c>
      <c r="B27" s="150">
        <f t="shared" si="9"/>
        <v>222632.60592874591</v>
      </c>
      <c r="C27" s="150">
        <f>CHOOSE($C$5,'HDB 1984'!I34,'Condo 99LH'!I34,'FH Condo'!I34,'HDB 2005'!I34,'HDB 2015'!I34,'FH Landed (Prime)'!I34)</f>
        <v>40425.790877251922</v>
      </c>
      <c r="D27" s="150">
        <f>CHOOSE($C$5,'HDB 1984'!J34,'Condo 99LH'!J34,'FH Condo'!J34,'HDB 2005'!J34,'HDB 2015'!J34,'FH Landed (Prime)'!J34)</f>
        <v>182206.81505149399</v>
      </c>
      <c r="E27" s="150">
        <f>CHOOSE($C$5,'HDB 1984'!K34,'Condo 99LH'!K34,'FH Condo'!K34,'HDB 2005'!K34,'HDB 2015'!K34,'FH Landed (Prime)'!K34)</f>
        <v>257084.32456372908</v>
      </c>
      <c r="F27" s="150">
        <f>CHOOSE($C$5,'HDB 1984'!L34,'Condo 99LH'!L34,'FH Condo'!L34,'HDB 2005'!L34,'HDB 2015'!L34,'FH Landed (Prime)'!L34)</f>
        <v>69597.8271060306</v>
      </c>
      <c r="G27" s="150">
        <f>CHOOSE($C$5,'HDB 1984'!M34,'Condo 99LH'!M34,'FH Condo'!M34,'HDB 2005'!M34,'HDB 2015'!M34,'FH Landed (Prime)'!M34)</f>
        <v>147060.70658044657</v>
      </c>
      <c r="H27" s="150">
        <f>CHOOSE($C$5,'HDB 1984'!N34,'Condo 99LH'!N34,'FH Condo'!N34,'HDB 2005'!N34,'HDB 2015'!N34,'FH Landed (Prime)'!N34)</f>
        <v>1805446.7037054447</v>
      </c>
      <c r="I27" s="150">
        <f>CHOOSE($C$5,'HDB 1984'!F34,'Condo 99LH'!F34,'FH Condo'!F34,'HDB 2005'!F34,'HDB 2015'!F34,'FH Landed (Prime)'!F34)</f>
        <v>17688651.367629476</v>
      </c>
      <c r="J27" s="150">
        <f>CHOOSE($C$5,'HDB 1984'!G34,'Condo 99LH'!G34,'FH Condo'!G34,'HDB 2005'!G34,'HDB 2015'!G34,'FH Landed (Prime)'!G34)</f>
        <v>2235648.5942658279</v>
      </c>
      <c r="K27" s="158">
        <f>CHOOSE($C$5,'HDB 1984'!Q34,'Condo 99LH'!Q34,'FH Condo'!Q34,'HDB 2005'!Q34,'HDB 2015'!Q34,'FH Landed (Prime)'!Q34)</f>
        <v>15273407.717668898</v>
      </c>
      <c r="M27" s="144">
        <f t="shared" si="0"/>
        <v>19</v>
      </c>
      <c r="N27" s="144">
        <f t="shared" si="1"/>
        <v>40425.790877251922</v>
      </c>
      <c r="O27" s="144">
        <f t="shared" si="2"/>
        <v>182206.81505149399</v>
      </c>
      <c r="P27" s="144">
        <f t="shared" si="3"/>
        <v>147060.70658044657</v>
      </c>
      <c r="Q27" s="144">
        <f t="shared" si="4"/>
        <v>69597.8271060306</v>
      </c>
      <c r="S27">
        <f t="shared" si="5"/>
        <v>19</v>
      </c>
      <c r="T27">
        <f t="shared" si="6"/>
        <v>17688651.367629476</v>
      </c>
      <c r="U27">
        <f t="shared" si="7"/>
        <v>2235648.5942658279</v>
      </c>
      <c r="V27">
        <f t="shared" si="8"/>
        <v>15273407.717668898</v>
      </c>
    </row>
    <row r="28" spans="1:22" ht="17" thickBot="1" x14ac:dyDescent="0.25">
      <c r="A28" s="173">
        <v>20</v>
      </c>
      <c r="B28" s="174">
        <f t="shared" si="9"/>
        <v>222632.60592874591</v>
      </c>
      <c r="C28" s="174">
        <f>CHOOSE($C$5,'HDB 1984'!I35,'Condo 99LH'!I35,'FH Condo'!I35,'HDB 2005'!I35,'HDB 2015'!I35,'FH Landed (Prime)'!I35)</f>
        <v>37357.688010181984</v>
      </c>
      <c r="D28" s="174">
        <f>CHOOSE($C$5,'HDB 1984'!J35,'Condo 99LH'!J35,'FH Condo'!J35,'HDB 2005'!J35,'HDB 2015'!J35,'FH Landed (Prime)'!J35)</f>
        <v>185274.91791856394</v>
      </c>
      <c r="E28" s="174">
        <f>CHOOSE($C$5,'HDB 1984'!K35,'Condo 99LH'!K35,'FH Condo'!K35,'HDB 2005'!K35,'HDB 2015'!K35,'FH Landed (Prime)'!K35)</f>
        <v>262226.01105500368</v>
      </c>
      <c r="F28" s="174">
        <f>CHOOSE($C$5,'HDB 1984'!L35,'Condo 99LH'!L35,'FH Condo'!L35,'HDB 2005'!L35,'HDB 2015'!L35,'FH Landed (Prime)'!L35)</f>
        <v>71294.583648151209</v>
      </c>
      <c r="G28" s="174">
        <f>CHOOSE($C$5,'HDB 1984'!M35,'Condo 99LH'!M35,'FH Condo'!M35,'HDB 2005'!M35,'HDB 2015'!M35,'FH Landed (Prime)'!M35)</f>
        <v>153573.73939667048</v>
      </c>
      <c r="H28" s="174">
        <f>CHOOSE($C$5,'HDB 1984'!N35,'Condo 99LH'!N35,'FH Condo'!N35,'HDB 2005'!N35,'HDB 2015'!N35,'FH Landed (Prime)'!N35)</f>
        <v>1959020.4431021153</v>
      </c>
      <c r="I28" s="174">
        <f>CHOOSE($C$5,'HDB 1984'!F35,'Condo 99LH'!F35,'FH Condo'!F35,'HDB 2005'!F35,'HDB 2015'!F35,'FH Landed (Prime)'!F35)</f>
        <v>18573083.936010949</v>
      </c>
      <c r="J28" s="174">
        <f>CHOOSE($C$5,'HDB 1984'!G35,'Condo 99LH'!G35,'FH Condo'!G35,'HDB 2005'!G35,'HDB 2015'!G35,'FH Landed (Prime)'!G35)</f>
        <v>2048948.0949819779</v>
      </c>
      <c r="K28" s="175">
        <f>CHOOSE($C$5,'HDB 1984'!Q35,'Condo 99LH'!Q35,'FH Condo'!Q35,'HDB 2005'!Q35,'HDB 2015'!Q35,'FH Landed (Prime)'!Q35)</f>
        <v>16332550.908941854</v>
      </c>
      <c r="M28" s="144">
        <f t="shared" si="0"/>
        <v>20</v>
      </c>
      <c r="N28" s="144">
        <f t="shared" si="1"/>
        <v>37357.688010181984</v>
      </c>
      <c r="O28" s="144">
        <f t="shared" si="2"/>
        <v>185274.91791856394</v>
      </c>
      <c r="P28" s="144">
        <f t="shared" si="3"/>
        <v>153573.73939667048</v>
      </c>
      <c r="Q28" s="144">
        <f t="shared" si="4"/>
        <v>71294.583648151209</v>
      </c>
      <c r="S28">
        <f t="shared" si="5"/>
        <v>20</v>
      </c>
      <c r="T28">
        <f t="shared" si="6"/>
        <v>18573083.936010949</v>
      </c>
      <c r="U28">
        <f t="shared" si="7"/>
        <v>2048948.0949819779</v>
      </c>
      <c r="V28">
        <f t="shared" si="8"/>
        <v>16332550.908941854</v>
      </c>
    </row>
    <row r="29" spans="1:22" ht="18" thickTop="1" thickBot="1" x14ac:dyDescent="0.25">
      <c r="A29" s="176" t="s">
        <v>238</v>
      </c>
      <c r="B29" s="177">
        <f t="shared" ref="B29:G29" si="10">SUM(B9:B28)</f>
        <v>4452652.1185749192</v>
      </c>
      <c r="C29" s="177">
        <f t="shared" si="10"/>
        <v>1276042.354647361</v>
      </c>
      <c r="D29" s="177">
        <f t="shared" si="10"/>
        <v>3176609.763927557</v>
      </c>
      <c r="E29" s="177">
        <f t="shared" si="10"/>
        <v>4373526.5638051881</v>
      </c>
      <c r="F29" s="177">
        <f t="shared" si="10"/>
        <v>1138463.7660557125</v>
      </c>
      <c r="G29" s="177">
        <f t="shared" si="10"/>
        <v>1959020.4431021153</v>
      </c>
      <c r="H29" s="178"/>
      <c r="I29" s="178"/>
      <c r="J29" s="178"/>
      <c r="K29" s="179"/>
    </row>
  </sheetData>
  <dataValidations count="1">
    <dataValidation type="list" allowBlank="1" showInputMessage="1" showErrorMessage="1" sqref="C4" xr:uid="{EEDA83FD-C0CF-2F4F-B145-FAF36B3DC7F2}">
      <formula1>"HDB 1984,Condo 99LH,FH Condo,HDB 2005,HDB 2015,FH Landed (Prime)"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7A2D-AD25-334C-89CF-7D55BE7B586D}">
  <dimension ref="A1:A912"/>
  <sheetViews>
    <sheetView workbookViewId="0">
      <selection activeCell="C14" sqref="C14"/>
    </sheetView>
  </sheetViews>
  <sheetFormatPr baseColWidth="10" defaultRowHeight="16" x14ac:dyDescent="0.2"/>
  <cols>
    <col min="1" max="1" width="126" style="27" customWidth="1"/>
  </cols>
  <sheetData>
    <row r="1" spans="1:1" ht="23" x14ac:dyDescent="0.3">
      <c r="A1" s="228" t="s">
        <v>288</v>
      </c>
    </row>
    <row r="2" spans="1:1" ht="19" x14ac:dyDescent="0.25">
      <c r="A2" s="229" t="s">
        <v>289</v>
      </c>
    </row>
    <row r="3" spans="1:1" ht="19" x14ac:dyDescent="0.25">
      <c r="A3" s="229" t="s">
        <v>290</v>
      </c>
    </row>
    <row r="5" spans="1:1" x14ac:dyDescent="0.2">
      <c r="A5" s="232" t="s">
        <v>291</v>
      </c>
    </row>
    <row r="6" spans="1:1" ht="20" x14ac:dyDescent="0.25">
      <c r="A6" s="230" t="s">
        <v>292</v>
      </c>
    </row>
    <row r="7" spans="1:1" x14ac:dyDescent="0.2">
      <c r="A7" s="232" t="s">
        <v>291</v>
      </c>
    </row>
    <row r="9" spans="1:1" x14ac:dyDescent="0.2">
      <c r="A9" s="231" t="s">
        <v>293</v>
      </c>
    </row>
    <row r="10" spans="1:1" x14ac:dyDescent="0.2">
      <c r="A10" s="231" t="s">
        <v>294</v>
      </c>
    </row>
    <row r="11" spans="1:1" x14ac:dyDescent="0.2">
      <c r="A11" s="231" t="s">
        <v>295</v>
      </c>
    </row>
    <row r="12" spans="1:1" x14ac:dyDescent="0.2">
      <c r="A12" s="231" t="s">
        <v>296</v>
      </c>
    </row>
    <row r="13" spans="1:1" x14ac:dyDescent="0.2">
      <c r="A13" s="231" t="s">
        <v>297</v>
      </c>
    </row>
    <row r="14" spans="1:1" x14ac:dyDescent="0.2">
      <c r="A14" s="231" t="s">
        <v>298</v>
      </c>
    </row>
    <row r="15" spans="1:1" x14ac:dyDescent="0.2">
      <c r="A15" s="231" t="s">
        <v>299</v>
      </c>
    </row>
    <row r="16" spans="1:1" x14ac:dyDescent="0.2">
      <c r="A16" s="231" t="s">
        <v>300</v>
      </c>
    </row>
    <row r="17" spans="1:1" x14ac:dyDescent="0.2">
      <c r="A17" s="231" t="s">
        <v>301</v>
      </c>
    </row>
    <row r="18" spans="1:1" x14ac:dyDescent="0.2">
      <c r="A18" s="231" t="s">
        <v>302</v>
      </c>
    </row>
    <row r="19" spans="1:1" x14ac:dyDescent="0.2">
      <c r="A19" s="231" t="s">
        <v>303</v>
      </c>
    </row>
    <row r="20" spans="1:1" x14ac:dyDescent="0.2">
      <c r="A20" s="231" t="s">
        <v>304</v>
      </c>
    </row>
    <row r="21" spans="1:1" x14ac:dyDescent="0.2">
      <c r="A21" s="231" t="s">
        <v>305</v>
      </c>
    </row>
    <row r="22" spans="1:1" x14ac:dyDescent="0.2">
      <c r="A22" s="231"/>
    </row>
    <row r="30" spans="1:1" ht="17" x14ac:dyDescent="0.2">
      <c r="A30" s="27" t="s">
        <v>288</v>
      </c>
    </row>
    <row r="31" spans="1:1" ht="17" x14ac:dyDescent="0.2">
      <c r="A31" s="27" t="s">
        <v>289</v>
      </c>
    </row>
    <row r="32" spans="1:1" ht="17" x14ac:dyDescent="0.2">
      <c r="A32" s="27" t="s">
        <v>290</v>
      </c>
    </row>
    <row r="34" spans="1:1" ht="17" x14ac:dyDescent="0.2">
      <c r="A34" s="27" t="s">
        <v>292</v>
      </c>
    </row>
    <row r="35" spans="1:1" ht="17" x14ac:dyDescent="0.2">
      <c r="A35" s="27" t="s">
        <v>306</v>
      </c>
    </row>
    <row r="36" spans="1:1" ht="17" x14ac:dyDescent="0.2">
      <c r="A36" s="27" t="s">
        <v>307</v>
      </c>
    </row>
    <row r="37" spans="1:1" ht="17" x14ac:dyDescent="0.2">
      <c r="A37" s="27" t="s">
        <v>308</v>
      </c>
    </row>
    <row r="38" spans="1:1" ht="17" x14ac:dyDescent="0.2">
      <c r="A38" s="27" t="s">
        <v>309</v>
      </c>
    </row>
    <row r="39" spans="1:1" ht="17" x14ac:dyDescent="0.2">
      <c r="A39" s="27" t="s">
        <v>310</v>
      </c>
    </row>
    <row r="40" spans="1:1" ht="17" x14ac:dyDescent="0.2">
      <c r="A40" s="27" t="s">
        <v>311</v>
      </c>
    </row>
    <row r="41" spans="1:1" ht="17" x14ac:dyDescent="0.2">
      <c r="A41" s="27" t="s">
        <v>312</v>
      </c>
    </row>
    <row r="42" spans="1:1" ht="17" x14ac:dyDescent="0.2">
      <c r="A42" s="27" t="s">
        <v>313</v>
      </c>
    </row>
    <row r="43" spans="1:1" ht="17" x14ac:dyDescent="0.2">
      <c r="A43" s="27" t="s">
        <v>314</v>
      </c>
    </row>
    <row r="44" spans="1:1" ht="17" x14ac:dyDescent="0.2">
      <c r="A44" s="27" t="s">
        <v>315</v>
      </c>
    </row>
    <row r="45" spans="1:1" ht="17" x14ac:dyDescent="0.2">
      <c r="A45" s="27" t="s">
        <v>316</v>
      </c>
    </row>
    <row r="46" spans="1:1" ht="17" x14ac:dyDescent="0.2">
      <c r="A46" s="27" t="s">
        <v>317</v>
      </c>
    </row>
    <row r="47" spans="1:1" ht="17" x14ac:dyDescent="0.2">
      <c r="A47" s="27" t="s">
        <v>318</v>
      </c>
    </row>
    <row r="49" spans="1:1" ht="17" x14ac:dyDescent="0.2">
      <c r="A49" s="27" t="s">
        <v>319</v>
      </c>
    </row>
    <row r="51" spans="1:1" ht="17" x14ac:dyDescent="0.2">
      <c r="A51" s="27" t="s">
        <v>320</v>
      </c>
    </row>
    <row r="52" spans="1:1" ht="34" x14ac:dyDescent="0.2">
      <c r="A52" s="27" t="s">
        <v>321</v>
      </c>
    </row>
    <row r="53" spans="1:1" x14ac:dyDescent="0.2">
      <c r="A53" s="27" t="e" cm="1">
        <f t="array" ref="A53">- Pre-retirement users (still earning salary, accumulation phase)</f>
        <v>#NAME?</v>
      </c>
    </row>
    <row r="54" spans="1:1" ht="17" x14ac:dyDescent="0.2">
      <c r="A54" s="27" t="s">
        <v>322</v>
      </c>
    </row>
    <row r="55" spans="1:1" x14ac:dyDescent="0.2">
      <c r="A55" s="27" t="e" cm="1">
        <f t="array" ref="A55">- Property investors (existing HNW functionality preserved)</f>
        <v>#NAME?</v>
      </c>
    </row>
    <row r="56" spans="1:1" x14ac:dyDescent="0.2">
      <c r="A56" s="27" t="e" cm="1">
        <f t="array" ref="A56">- New users (guided onboarding wizard)</f>
        <v>#NAME?</v>
      </c>
    </row>
    <row r="58" spans="1:1" ht="17" x14ac:dyDescent="0.2">
      <c r="A58" s="27" t="s">
        <v>323</v>
      </c>
    </row>
    <row r="59" spans="1:1" ht="17" x14ac:dyDescent="0.2">
      <c r="A59" s="27" t="s">
        <v>324</v>
      </c>
    </row>
    <row r="60" spans="1:1" ht="17" x14ac:dyDescent="0.2">
      <c r="A60" s="27" t="s">
        <v>325</v>
      </c>
    </row>
    <row r="61" spans="1:1" ht="17" x14ac:dyDescent="0.2">
      <c r="A61" s="27" t="s">
        <v>326</v>
      </c>
    </row>
    <row r="62" spans="1:1" ht="17" x14ac:dyDescent="0.2">
      <c r="A62" s="27" t="s">
        <v>327</v>
      </c>
    </row>
    <row r="63" spans="1:1" ht="17" x14ac:dyDescent="0.2">
      <c r="A63" s="27" t="s">
        <v>328</v>
      </c>
    </row>
    <row r="64" spans="1:1" ht="17" x14ac:dyDescent="0.2">
      <c r="A64" s="27" t="s">
        <v>329</v>
      </c>
    </row>
    <row r="65" spans="1:1" ht="17" x14ac:dyDescent="0.2">
      <c r="A65" s="27" t="s">
        <v>330</v>
      </c>
    </row>
    <row r="66" spans="1:1" ht="17" x14ac:dyDescent="0.2">
      <c r="A66" s="27" t="s">
        <v>331</v>
      </c>
    </row>
    <row r="67" spans="1:1" ht="17" x14ac:dyDescent="0.2">
      <c r="A67" s="27" t="s">
        <v>332</v>
      </c>
    </row>
    <row r="68" spans="1:1" ht="17" x14ac:dyDescent="0.2">
      <c r="A68" s="27" t="s">
        <v>333</v>
      </c>
    </row>
    <row r="69" spans="1:1" ht="17" x14ac:dyDescent="0.2">
      <c r="A69" s="27" t="s">
        <v>334</v>
      </c>
    </row>
    <row r="71" spans="1:1" ht="17" x14ac:dyDescent="0.2">
      <c r="A71" s="27" t="s">
        <v>335</v>
      </c>
    </row>
    <row r="72" spans="1:1" ht="17" x14ac:dyDescent="0.2">
      <c r="A72" s="27" t="s">
        <v>336</v>
      </c>
    </row>
    <row r="73" spans="1:1" ht="17" x14ac:dyDescent="0.2">
      <c r="A73" s="27" t="s">
        <v>337</v>
      </c>
    </row>
    <row r="74" spans="1:1" ht="17" x14ac:dyDescent="0.2">
      <c r="A74" s="27" t="s">
        <v>338</v>
      </c>
    </row>
    <row r="75" spans="1:1" ht="17" x14ac:dyDescent="0.2">
      <c r="A75" s="27" t="s">
        <v>339</v>
      </c>
    </row>
    <row r="76" spans="1:1" ht="17" x14ac:dyDescent="0.2">
      <c r="A76" s="27" t="s">
        <v>340</v>
      </c>
    </row>
    <row r="77" spans="1:1" x14ac:dyDescent="0.2">
      <c r="A77" s="27" t="e" cm="1">
        <f t="array" ref="A77">- User onboarding: Setup wizard + reference guide</f>
        <v>#NAME?</v>
      </c>
    </row>
    <row r="78" spans="1:1" x14ac:dyDescent="0.2">
      <c r="A78" s="27" t="e" cm="1">
        <f t="array" ref="A78">- Property Monte Carlo: Hybrid - MC for liquid portfolio, discrete stress scenarios for Property</f>
        <v>#NAME?</v>
      </c>
    </row>
    <row r="79" spans="1:1" ht="17" x14ac:dyDescent="0.2">
      <c r="A79" s="27" t="s">
        <v>341</v>
      </c>
    </row>
    <row r="80" spans="1:1" ht="17" x14ac:dyDescent="0.2">
      <c r="A80" s="27" t="s">
        <v>342</v>
      </c>
    </row>
    <row r="81" spans="1:1" x14ac:dyDescent="0.2">
      <c r="A81" s="27" t="e" cm="1">
        <f t="array" ref="A81">- Income data: Singapore MOM salary benchmarks embedded</f>
        <v>#NAME?</v>
      </c>
    </row>
    <row r="82" spans="1:1" x14ac:dyDescent="0.2">
      <c r="A82" s="27" t="e" cm="1">
        <f t="array" ref="A82">- Webapp migration: Planned - all logic documented for future migration</f>
        <v>#NAME?</v>
      </c>
    </row>
    <row r="84" spans="1:1" ht="17" x14ac:dyDescent="0.2">
      <c r="A84" s="27" t="s">
        <v>343</v>
      </c>
    </row>
    <row r="86" spans="1:1" ht="17" x14ac:dyDescent="0.2">
      <c r="A86" s="27" t="s">
        <v>344</v>
      </c>
    </row>
    <row r="88" spans="1:1" ht="17" x14ac:dyDescent="0.2">
      <c r="A88" s="27" t="s">
        <v>345</v>
      </c>
    </row>
    <row r="89" spans="1:1" ht="17" x14ac:dyDescent="0.2">
      <c r="A89" s="27" t="s">
        <v>346</v>
      </c>
    </row>
    <row r="90" spans="1:1" ht="17" x14ac:dyDescent="0.2">
      <c r="A90" s="27" t="s">
        <v>347</v>
      </c>
    </row>
    <row r="91" spans="1:1" ht="17" x14ac:dyDescent="0.2">
      <c r="A91" s="27" t="s">
        <v>348</v>
      </c>
    </row>
    <row r="92" spans="1:1" ht="17" x14ac:dyDescent="0.2">
      <c r="A92" s="27" t="s">
        <v>349</v>
      </c>
    </row>
    <row r="93" spans="1:1" ht="17" x14ac:dyDescent="0.2">
      <c r="A93" s="27" t="s">
        <v>350</v>
      </c>
    </row>
    <row r="94" spans="1:1" ht="17" x14ac:dyDescent="0.2">
      <c r="A94" s="27" t="s">
        <v>351</v>
      </c>
    </row>
    <row r="95" spans="1:1" ht="17" x14ac:dyDescent="0.2">
      <c r="A95" s="27" t="s">
        <v>352</v>
      </c>
    </row>
    <row r="96" spans="1:1" ht="17" x14ac:dyDescent="0.2">
      <c r="A96" s="27" t="s">
        <v>353</v>
      </c>
    </row>
    <row r="97" spans="1:1" ht="17" x14ac:dyDescent="0.2">
      <c r="A97" s="27" t="s">
        <v>354</v>
      </c>
    </row>
    <row r="98" spans="1:1" ht="17" x14ac:dyDescent="0.2">
      <c r="A98" s="27" t="s">
        <v>355</v>
      </c>
    </row>
    <row r="99" spans="1:1" x14ac:dyDescent="0.2">
      <c r="A99" s="27" t="e">
        <f>- Transaction costs: BSD, ABSD, legal fees</f>
        <v>#NAME?</v>
      </c>
    </row>
    <row r="100" spans="1:1" ht="17" x14ac:dyDescent="0.2">
      <c r="A100" s="27" t="s">
        <v>356</v>
      </c>
    </row>
    <row r="102" spans="1:1" ht="17" x14ac:dyDescent="0.2">
      <c r="A102" s="27" t="s">
        <v>357</v>
      </c>
    </row>
    <row r="103" spans="1:1" ht="17" x14ac:dyDescent="0.2">
      <c r="A103" s="27" t="s">
        <v>358</v>
      </c>
    </row>
    <row r="104" spans="1:1" x14ac:dyDescent="0.2">
      <c r="A104" s="27" t="e" cm="1">
        <f t="array" ref="A104">- Ranking table with risk flags</f>
        <v>#NAME?</v>
      </c>
    </row>
    <row r="105" spans="1:1" ht="17" x14ac:dyDescent="0.2">
      <c r="A105" s="27" t="s">
        <v>359</v>
      </c>
    </row>
    <row r="106" spans="1:1" x14ac:dyDescent="0.2">
      <c r="A106" s="27" t="e" cm="1">
        <f t="array" ref="A106">- risk assessment matrix with overall scores</f>
        <v>#NAME?</v>
      </c>
    </row>
    <row r="107" spans="1:1" x14ac:dyDescent="0.2">
      <c r="A107" s="27" t="e">
        <f>- Visual charts: NW bar chart, equity split, ROE comparison</f>
        <v>#NAME?</v>
      </c>
    </row>
    <row r="109" spans="1:1" ht="17" x14ac:dyDescent="0.2">
      <c r="A109" s="27" t="s">
        <v>360</v>
      </c>
    </row>
    <row r="110" spans="1:1" x14ac:dyDescent="0.2">
      <c r="A110" s="27" t="e" cm="1">
        <f t="array" ref="A110">- Property selector dropdown</f>
        <v>#NAME?</v>
      </c>
    </row>
    <row r="111" spans="1:1" ht="17" x14ac:dyDescent="0.2">
      <c r="A111" s="27" t="s">
        <v>361</v>
      </c>
    </row>
    <row r="113" spans="1:1" ht="17" x14ac:dyDescent="0.2">
      <c r="A113" s="27" t="s">
        <v>362</v>
      </c>
    </row>
    <row r="114" spans="1:1" x14ac:dyDescent="0.2">
      <c r="A114" s="27" t="e">
        <f>- Editable scenario definitions: Land appreciation, mortgage rates, ABSD rates</f>
        <v>#NAME?</v>
      </c>
    </row>
    <row r="116" spans="1:1" ht="17" x14ac:dyDescent="0.2">
      <c r="A116" s="27" t="s">
        <v>363</v>
      </c>
    </row>
    <row r="117" spans="1:1" ht="17" x14ac:dyDescent="0.2">
      <c r="A117" s="27" t="s">
        <v>364</v>
      </c>
    </row>
    <row r="118" spans="1:1" x14ac:dyDescent="0.2">
      <c r="A118" s="27" t="e" cm="1">
        <f t="array" ref="A118">- terminal NW comparison</f>
        <v>#NAME?</v>
      </c>
    </row>
    <row r="119" spans="1:1" x14ac:dyDescent="0.2">
      <c r="A119" s="27" t="e">
        <f>- Advanced metrics: ROE, Leverage amplification, real CAGR, equity multiple</f>
        <v>#NAME?</v>
      </c>
    </row>
    <row r="121" spans="1:1" ht="17" x14ac:dyDescent="0.2">
      <c r="A121" s="27" t="s">
        <v>365</v>
      </c>
    </row>
    <row r="122" spans="1:1" ht="17" x14ac:dyDescent="0.2">
      <c r="A122" s="27" t="s">
        <v>366</v>
      </c>
    </row>
    <row r="123" spans="1:1" x14ac:dyDescent="0.2">
      <c r="A123" s="27" t="e" cm="1">
        <f t="array" ref="A123">- Lending restriction flags</f>
        <v>#NAME?</v>
      </c>
    </row>
    <row r="125" spans="1:1" ht="17" x14ac:dyDescent="0.2">
      <c r="A125" s="27" t="s">
        <v>367</v>
      </c>
    </row>
    <row r="126" spans="1:1" ht="17" x14ac:dyDescent="0.2">
      <c r="A126" s="27" t="s">
        <v>368</v>
      </c>
    </row>
    <row r="127" spans="1:1" ht="17" x14ac:dyDescent="0.2">
      <c r="A127" s="27" t="s">
        <v>369</v>
      </c>
    </row>
    <row r="128" spans="1:1" ht="17" x14ac:dyDescent="0.2">
      <c r="A128" s="27" t="s">
        <v>370</v>
      </c>
    </row>
    <row r="129" spans="1:1" ht="17" x14ac:dyDescent="0.2">
      <c r="A129" s="27" t="s">
        <v>371</v>
      </c>
    </row>
    <row r="130" spans="1:1" ht="17" x14ac:dyDescent="0.2">
      <c r="A130" s="27" t="s">
        <v>372</v>
      </c>
    </row>
    <row r="131" spans="1:1" ht="17" x14ac:dyDescent="0.2">
      <c r="A131" s="27" t="s">
        <v>373</v>
      </c>
    </row>
    <row r="132" spans="1:1" ht="17" x14ac:dyDescent="0.2">
      <c r="A132" s="27" t="s">
        <v>374</v>
      </c>
    </row>
    <row r="134" spans="1:1" ht="17" x14ac:dyDescent="0.2">
      <c r="A134" s="27" t="s">
        <v>375</v>
      </c>
    </row>
    <row r="135" spans="1:1" x14ac:dyDescent="0.2">
      <c r="A135" s="27" t="e" cm="1">
        <f t="array" ref="A135">- Property selector dropdown</f>
        <v>#NAME?</v>
      </c>
    </row>
    <row r="136" spans="1:1" ht="17" x14ac:dyDescent="0.2">
      <c r="A136" s="27" t="s">
        <v>376</v>
      </c>
    </row>
    <row r="137" spans="1:1" ht="17" x14ac:dyDescent="0.2">
      <c r="A137" s="27" t="s">
        <v>377</v>
      </c>
    </row>
    <row r="138" spans="1:1" ht="17" x14ac:dyDescent="0.2">
      <c r="A138" s="27" t="s">
        <v>378</v>
      </c>
    </row>
    <row r="140" spans="1:1" ht="17" x14ac:dyDescent="0.2">
      <c r="A140" s="27" t="s">
        <v>379</v>
      </c>
    </row>
    <row r="142" spans="1:1" ht="17" x14ac:dyDescent="0.2">
      <c r="A142" s="27" t="s">
        <v>380</v>
      </c>
    </row>
    <row r="144" spans="1:1" ht="17" x14ac:dyDescent="0.2">
      <c r="A144" s="27" t="s">
        <v>381</v>
      </c>
    </row>
    <row r="145" spans="1:1" ht="17" x14ac:dyDescent="0.2">
      <c r="A145" s="27" t="s">
        <v>382</v>
      </c>
    </row>
    <row r="146" spans="1:1" ht="17" x14ac:dyDescent="0.2">
      <c r="A146" s="27" t="s">
        <v>383</v>
      </c>
    </row>
    <row r="147" spans="1:1" ht="17" x14ac:dyDescent="0.2">
      <c r="A147" s="27" t="s">
        <v>384</v>
      </c>
    </row>
    <row r="148" spans="1:1" ht="17" x14ac:dyDescent="0.2">
      <c r="A148" s="27" t="s">
        <v>385</v>
      </c>
    </row>
    <row r="149" spans="1:1" ht="17" x14ac:dyDescent="0.2">
      <c r="A149" s="27" t="s">
        <v>386</v>
      </c>
    </row>
    <row r="150" spans="1:1" ht="17" x14ac:dyDescent="0.2">
      <c r="A150" s="27" t="s">
        <v>387</v>
      </c>
    </row>
    <row r="151" spans="1:1" ht="17" x14ac:dyDescent="0.2">
      <c r="A151" s="27" t="s">
        <v>388</v>
      </c>
    </row>
    <row r="152" spans="1:1" ht="17" x14ac:dyDescent="0.2">
      <c r="A152" s="27" t="s">
        <v>389</v>
      </c>
    </row>
    <row r="153" spans="1:1" ht="17" x14ac:dyDescent="0.2">
      <c r="A153" s="27" t="s">
        <v>390</v>
      </c>
    </row>
    <row r="154" spans="1:1" ht="17" x14ac:dyDescent="0.2">
      <c r="A154" s="27" t="s">
        <v>391</v>
      </c>
    </row>
    <row r="156" spans="1:1" ht="17" x14ac:dyDescent="0.2">
      <c r="A156" s="27" t="s">
        <v>392</v>
      </c>
    </row>
    <row r="157" spans="1:1" ht="17" x14ac:dyDescent="0.2">
      <c r="A157" s="27" t="s">
        <v>393</v>
      </c>
    </row>
    <row r="158" spans="1:1" ht="17" x14ac:dyDescent="0.2">
      <c r="A158" s="27" t="s">
        <v>394</v>
      </c>
    </row>
    <row r="160" spans="1:1" ht="17" x14ac:dyDescent="0.2">
      <c r="A160" s="27" t="s">
        <v>395</v>
      </c>
    </row>
    <row r="161" spans="1:1" ht="34" x14ac:dyDescent="0.2">
      <c r="A161" s="27" t="s">
        <v>396</v>
      </c>
    </row>
    <row r="163" spans="1:1" ht="17" x14ac:dyDescent="0.2">
      <c r="A163" s="27" t="s">
        <v>397</v>
      </c>
    </row>
    <row r="165" spans="1:1" ht="17" x14ac:dyDescent="0.2">
      <c r="A165" s="27" t="s">
        <v>398</v>
      </c>
    </row>
    <row r="167" spans="1:1" ht="17" x14ac:dyDescent="0.2">
      <c r="A167" s="27" t="s">
        <v>399</v>
      </c>
    </row>
    <row r="168" spans="1:1" ht="17" x14ac:dyDescent="0.2">
      <c r="A168" s="27" t="s">
        <v>400</v>
      </c>
    </row>
    <row r="169" spans="1:1" ht="17" x14ac:dyDescent="0.2">
      <c r="A169" s="27" t="s">
        <v>401</v>
      </c>
    </row>
    <row r="170" spans="1:1" ht="17" x14ac:dyDescent="0.2">
      <c r="A170" s="27" t="s">
        <v>402</v>
      </c>
    </row>
    <row r="171" spans="1:1" ht="17" x14ac:dyDescent="0.2">
      <c r="A171" s="27" t="s">
        <v>403</v>
      </c>
    </row>
    <row r="172" spans="1:1" ht="17" x14ac:dyDescent="0.2">
      <c r="A172" s="27" t="s">
        <v>404</v>
      </c>
    </row>
    <row r="173" spans="1:1" ht="17" x14ac:dyDescent="0.2">
      <c r="A173" s="27" t="s">
        <v>405</v>
      </c>
    </row>
    <row r="174" spans="1:1" ht="17" x14ac:dyDescent="0.2">
      <c r="A174" s="27" t="s">
        <v>406</v>
      </c>
    </row>
    <row r="175" spans="1:1" ht="17" x14ac:dyDescent="0.2">
      <c r="A175" s="27" t="s">
        <v>407</v>
      </c>
    </row>
    <row r="176" spans="1:1" ht="17" x14ac:dyDescent="0.2">
      <c r="A176" s="27" t="s">
        <v>408</v>
      </c>
    </row>
    <row r="177" spans="1:1" ht="17" x14ac:dyDescent="0.2">
      <c r="A177" s="27" t="s">
        <v>409</v>
      </c>
    </row>
    <row r="178" spans="1:1" ht="17" x14ac:dyDescent="0.2">
      <c r="A178" s="27" t="s">
        <v>410</v>
      </c>
    </row>
    <row r="180" spans="1:1" ht="17" x14ac:dyDescent="0.2">
      <c r="A180" s="27" t="s">
        <v>411</v>
      </c>
    </row>
    <row r="182" spans="1:1" ht="17" x14ac:dyDescent="0.2">
      <c r="A182" s="27" t="s">
        <v>412</v>
      </c>
    </row>
    <row r="184" spans="1:1" ht="17" x14ac:dyDescent="0.2">
      <c r="A184" s="27" t="s">
        <v>413</v>
      </c>
    </row>
    <row r="185" spans="1:1" ht="17" x14ac:dyDescent="0.2">
      <c r="A185" s="27" t="s">
        <v>414</v>
      </c>
    </row>
    <row r="186" spans="1:1" ht="17" x14ac:dyDescent="0.2">
      <c r="A186" s="27" t="s">
        <v>415</v>
      </c>
    </row>
    <row r="187" spans="1:1" ht="17" x14ac:dyDescent="0.2">
      <c r="A187" s="27" t="s">
        <v>416</v>
      </c>
    </row>
    <row r="188" spans="1:1" ht="17" x14ac:dyDescent="0.2">
      <c r="A188" s="27" t="s">
        <v>417</v>
      </c>
    </row>
    <row r="189" spans="1:1" ht="17" x14ac:dyDescent="0.2">
      <c r="A189" s="27" t="s">
        <v>418</v>
      </c>
    </row>
    <row r="190" spans="1:1" ht="17" x14ac:dyDescent="0.2">
      <c r="A190" s="27" t="s">
        <v>419</v>
      </c>
    </row>
    <row r="191" spans="1:1" ht="17" x14ac:dyDescent="0.2">
      <c r="A191" s="27" t="s">
        <v>420</v>
      </c>
    </row>
    <row r="193" spans="1:1" ht="17" x14ac:dyDescent="0.2">
      <c r="A193" s="27" t="s">
        <v>421</v>
      </c>
    </row>
    <row r="194" spans="1:1" ht="17" x14ac:dyDescent="0.2">
      <c r="A194" s="27" t="s">
        <v>422</v>
      </c>
    </row>
    <row r="195" spans="1:1" ht="17" x14ac:dyDescent="0.2">
      <c r="A195" s="27" t="s">
        <v>423</v>
      </c>
    </row>
    <row r="196" spans="1:1" ht="17" x14ac:dyDescent="0.2">
      <c r="A196" s="27" t="s">
        <v>424</v>
      </c>
    </row>
    <row r="197" spans="1:1" ht="17" x14ac:dyDescent="0.2">
      <c r="A197" s="27" t="s">
        <v>425</v>
      </c>
    </row>
    <row r="198" spans="1:1" ht="17" x14ac:dyDescent="0.2">
      <c r="A198" s="27" t="s">
        <v>426</v>
      </c>
    </row>
    <row r="199" spans="1:1" ht="17" x14ac:dyDescent="0.2">
      <c r="A199" s="27" t="s">
        <v>427</v>
      </c>
    </row>
    <row r="200" spans="1:1" ht="17" x14ac:dyDescent="0.2">
      <c r="A200" s="27" t="s">
        <v>428</v>
      </c>
    </row>
    <row r="201" spans="1:1" ht="17" x14ac:dyDescent="0.2">
      <c r="A201" s="27" t="s">
        <v>429</v>
      </c>
    </row>
    <row r="202" spans="1:1" ht="17" x14ac:dyDescent="0.2">
      <c r="A202" s="27" t="s">
        <v>430</v>
      </c>
    </row>
    <row r="204" spans="1:1" ht="17" x14ac:dyDescent="0.2">
      <c r="A204" s="27" t="s">
        <v>431</v>
      </c>
    </row>
    <row r="205" spans="1:1" ht="17" x14ac:dyDescent="0.2">
      <c r="A205" s="27" t="s">
        <v>432</v>
      </c>
    </row>
    <row r="206" spans="1:1" ht="17" x14ac:dyDescent="0.2">
      <c r="A206" s="27" t="s">
        <v>433</v>
      </c>
    </row>
    <row r="207" spans="1:1" ht="17" x14ac:dyDescent="0.2">
      <c r="A207" s="27" t="s">
        <v>434</v>
      </c>
    </row>
    <row r="208" spans="1:1" ht="17" x14ac:dyDescent="0.2">
      <c r="A208" s="27" t="s">
        <v>435</v>
      </c>
    </row>
    <row r="209" spans="1:1" ht="17" x14ac:dyDescent="0.2">
      <c r="A209" s="27" t="s">
        <v>436</v>
      </c>
    </row>
    <row r="210" spans="1:1" ht="17" x14ac:dyDescent="0.2">
      <c r="A210" s="27" t="s">
        <v>437</v>
      </c>
    </row>
    <row r="211" spans="1:1" ht="17" x14ac:dyDescent="0.2">
      <c r="A211" s="27" t="s">
        <v>438</v>
      </c>
    </row>
    <row r="212" spans="1:1" ht="17" x14ac:dyDescent="0.2">
      <c r="A212" s="27" t="s">
        <v>439</v>
      </c>
    </row>
    <row r="213" spans="1:1" ht="17" x14ac:dyDescent="0.2">
      <c r="A213" s="27" t="s">
        <v>440</v>
      </c>
    </row>
    <row r="215" spans="1:1" ht="17" x14ac:dyDescent="0.2">
      <c r="A215" s="27" t="s">
        <v>441</v>
      </c>
    </row>
    <row r="216" spans="1:1" ht="17" x14ac:dyDescent="0.2">
      <c r="A216" s="27" t="s">
        <v>442</v>
      </c>
    </row>
    <row r="217" spans="1:1" ht="17" x14ac:dyDescent="0.2">
      <c r="A217" s="27" t="s">
        <v>443</v>
      </c>
    </row>
    <row r="218" spans="1:1" ht="17" x14ac:dyDescent="0.2">
      <c r="A218" s="27" t="s">
        <v>444</v>
      </c>
    </row>
    <row r="219" spans="1:1" ht="17" x14ac:dyDescent="0.2">
      <c r="A219" s="27" t="s">
        <v>445</v>
      </c>
    </row>
    <row r="220" spans="1:1" ht="17" x14ac:dyDescent="0.2">
      <c r="A220" s="27" t="s">
        <v>446</v>
      </c>
    </row>
    <row r="222" spans="1:1" ht="17" x14ac:dyDescent="0.2">
      <c r="A222" s="27" t="s">
        <v>447</v>
      </c>
    </row>
    <row r="223" spans="1:1" ht="17" x14ac:dyDescent="0.2">
      <c r="A223" s="27" t="s">
        <v>448</v>
      </c>
    </row>
    <row r="224" spans="1:1" ht="17" x14ac:dyDescent="0.2">
      <c r="A224" s="27" t="s">
        <v>449</v>
      </c>
    </row>
    <row r="225" spans="1:1" ht="17" x14ac:dyDescent="0.2">
      <c r="A225" s="27" t="s">
        <v>450</v>
      </c>
    </row>
    <row r="226" spans="1:1" ht="17" x14ac:dyDescent="0.2">
      <c r="A226" s="27" t="s">
        <v>451</v>
      </c>
    </row>
    <row r="228" spans="1:1" ht="17" x14ac:dyDescent="0.2">
      <c r="A228" s="27" t="s">
        <v>452</v>
      </c>
    </row>
    <row r="230" spans="1:1" ht="17" x14ac:dyDescent="0.2">
      <c r="A230" s="27" t="s">
        <v>453</v>
      </c>
    </row>
    <row r="231" spans="1:1" ht="17" x14ac:dyDescent="0.2">
      <c r="A231" s="27" t="s">
        <v>454</v>
      </c>
    </row>
    <row r="233" spans="1:1" ht="17" x14ac:dyDescent="0.2">
      <c r="A233" s="27" t="s">
        <v>455</v>
      </c>
    </row>
    <row r="234" spans="1:1" ht="17" x14ac:dyDescent="0.2">
      <c r="A234" s="27" t="s">
        <v>456</v>
      </c>
    </row>
    <row r="235" spans="1:1" ht="17" x14ac:dyDescent="0.2">
      <c r="A235" s="27" t="s">
        <v>457</v>
      </c>
    </row>
    <row r="236" spans="1:1" ht="17" x14ac:dyDescent="0.2">
      <c r="A236" s="27" t="s">
        <v>458</v>
      </c>
    </row>
    <row r="238" spans="1:1" ht="17" x14ac:dyDescent="0.2">
      <c r="A238" s="27" t="s">
        <v>459</v>
      </c>
    </row>
    <row r="239" spans="1:1" ht="17" x14ac:dyDescent="0.2">
      <c r="A239" s="27" t="s">
        <v>456</v>
      </c>
    </row>
    <row r="240" spans="1:1" ht="17" x14ac:dyDescent="0.2">
      <c r="A240" s="27" t="s">
        <v>460</v>
      </c>
    </row>
    <row r="241" spans="1:1" ht="17" x14ac:dyDescent="0.2">
      <c r="A241" s="27" t="s">
        <v>461</v>
      </c>
    </row>
    <row r="242" spans="1:1" ht="17" x14ac:dyDescent="0.2">
      <c r="A242" s="27" t="s">
        <v>462</v>
      </c>
    </row>
    <row r="243" spans="1:1" ht="17" x14ac:dyDescent="0.2">
      <c r="A243" s="27" t="s">
        <v>463</v>
      </c>
    </row>
    <row r="244" spans="1:1" ht="17" x14ac:dyDescent="0.2">
      <c r="A244" s="27" t="s">
        <v>464</v>
      </c>
    </row>
    <row r="245" spans="1:1" ht="17" x14ac:dyDescent="0.2">
      <c r="A245" s="27" t="s">
        <v>465</v>
      </c>
    </row>
    <row r="246" spans="1:1" ht="17" x14ac:dyDescent="0.2">
      <c r="A246" s="27" t="s">
        <v>466</v>
      </c>
    </row>
    <row r="247" spans="1:1" ht="17" x14ac:dyDescent="0.2">
      <c r="A247" s="27" t="s">
        <v>467</v>
      </c>
    </row>
    <row r="248" spans="1:1" ht="17" x14ac:dyDescent="0.2">
      <c r="A248" s="27" t="s">
        <v>468</v>
      </c>
    </row>
    <row r="249" spans="1:1" ht="17" x14ac:dyDescent="0.2">
      <c r="A249" s="27" t="s">
        <v>469</v>
      </c>
    </row>
    <row r="251" spans="1:1" ht="17" x14ac:dyDescent="0.2">
      <c r="A251" s="27" t="s">
        <v>470</v>
      </c>
    </row>
    <row r="252" spans="1:1" ht="17" x14ac:dyDescent="0.2">
      <c r="A252" s="27" t="s">
        <v>471</v>
      </c>
    </row>
    <row r="253" spans="1:1" ht="17" x14ac:dyDescent="0.2">
      <c r="A253" s="27" t="s">
        <v>472</v>
      </c>
    </row>
    <row r="254" spans="1:1" ht="17" x14ac:dyDescent="0.2">
      <c r="A254" s="27" t="s">
        <v>473</v>
      </c>
    </row>
    <row r="255" spans="1:1" ht="17" x14ac:dyDescent="0.2">
      <c r="A255" s="27" t="s">
        <v>474</v>
      </c>
    </row>
    <row r="257" spans="1:1" ht="17" x14ac:dyDescent="0.2">
      <c r="A257" s="27" t="s">
        <v>475</v>
      </c>
    </row>
    <row r="258" spans="1:1" ht="17" x14ac:dyDescent="0.2">
      <c r="A258" s="27" t="s">
        <v>476</v>
      </c>
    </row>
    <row r="259" spans="1:1" ht="17" x14ac:dyDescent="0.2">
      <c r="A259" s="27" t="s">
        <v>477</v>
      </c>
    </row>
    <row r="260" spans="1:1" ht="17" x14ac:dyDescent="0.2">
      <c r="A260" s="27" t="s">
        <v>478</v>
      </c>
    </row>
    <row r="261" spans="1:1" ht="17" x14ac:dyDescent="0.2">
      <c r="A261" s="27" t="s">
        <v>479</v>
      </c>
    </row>
    <row r="262" spans="1:1" ht="17" x14ac:dyDescent="0.2">
      <c r="A262" s="27" t="s">
        <v>480</v>
      </c>
    </row>
    <row r="263" spans="1:1" ht="17" x14ac:dyDescent="0.2">
      <c r="A263" s="27" t="s">
        <v>481</v>
      </c>
    </row>
    <row r="264" spans="1:1" ht="17" x14ac:dyDescent="0.2">
      <c r="A264" s="27" t="s">
        <v>482</v>
      </c>
    </row>
    <row r="265" spans="1:1" ht="17" x14ac:dyDescent="0.2">
      <c r="A265" s="27" t="s">
        <v>483</v>
      </c>
    </row>
    <row r="266" spans="1:1" ht="17" x14ac:dyDescent="0.2">
      <c r="A266" s="27" t="s">
        <v>484</v>
      </c>
    </row>
    <row r="267" spans="1:1" ht="17" x14ac:dyDescent="0.2">
      <c r="A267" s="27" t="s">
        <v>485</v>
      </c>
    </row>
    <row r="268" spans="1:1" ht="17" x14ac:dyDescent="0.2">
      <c r="A268" s="27" t="s">
        <v>486</v>
      </c>
    </row>
    <row r="269" spans="1:1" ht="17" x14ac:dyDescent="0.2">
      <c r="A269" s="27" t="s">
        <v>487</v>
      </c>
    </row>
    <row r="271" spans="1:1" ht="17" x14ac:dyDescent="0.2">
      <c r="A271" s="27" t="s">
        <v>488</v>
      </c>
    </row>
    <row r="273" spans="1:1" ht="17" x14ac:dyDescent="0.2">
      <c r="A273" s="27" t="s">
        <v>489</v>
      </c>
    </row>
    <row r="274" spans="1:1" ht="17" x14ac:dyDescent="0.2">
      <c r="A274" s="27" t="s">
        <v>490</v>
      </c>
    </row>
    <row r="275" spans="1:1" ht="17" x14ac:dyDescent="0.2">
      <c r="A275" s="27" t="s">
        <v>491</v>
      </c>
    </row>
    <row r="276" spans="1:1" ht="17" x14ac:dyDescent="0.2">
      <c r="A276" s="27" t="s">
        <v>492</v>
      </c>
    </row>
    <row r="277" spans="1:1" ht="17" x14ac:dyDescent="0.2">
      <c r="A277" s="27" t="s">
        <v>493</v>
      </c>
    </row>
    <row r="278" spans="1:1" ht="17" x14ac:dyDescent="0.2">
      <c r="A278" s="27" t="s">
        <v>494</v>
      </c>
    </row>
    <row r="280" spans="1:1" ht="17" x14ac:dyDescent="0.2">
      <c r="A280" s="27" t="s">
        <v>495</v>
      </c>
    </row>
    <row r="281" spans="1:1" ht="17" x14ac:dyDescent="0.2">
      <c r="A281" s="27" t="s">
        <v>496</v>
      </c>
    </row>
    <row r="282" spans="1:1" ht="17" x14ac:dyDescent="0.2">
      <c r="A282" s="27" t="s">
        <v>497</v>
      </c>
    </row>
    <row r="283" spans="1:1" ht="17" x14ac:dyDescent="0.2">
      <c r="A283" s="27" t="s">
        <v>498</v>
      </c>
    </row>
    <row r="284" spans="1:1" ht="17" x14ac:dyDescent="0.2">
      <c r="A284" s="27" t="s">
        <v>499</v>
      </c>
    </row>
    <row r="285" spans="1:1" ht="17" x14ac:dyDescent="0.2">
      <c r="A285" s="27" t="s">
        <v>500</v>
      </c>
    </row>
    <row r="287" spans="1:1" ht="17" x14ac:dyDescent="0.2">
      <c r="A287" s="27" t="s">
        <v>501</v>
      </c>
    </row>
    <row r="288" spans="1:1" ht="17" x14ac:dyDescent="0.2">
      <c r="A288" s="27" t="s">
        <v>502</v>
      </c>
    </row>
    <row r="290" spans="1:1" ht="17" x14ac:dyDescent="0.2">
      <c r="A290" s="27" t="s">
        <v>503</v>
      </c>
    </row>
    <row r="291" spans="1:1" ht="17" x14ac:dyDescent="0.2">
      <c r="A291" s="27" t="s">
        <v>504</v>
      </c>
    </row>
    <row r="292" spans="1:1" ht="17" x14ac:dyDescent="0.2">
      <c r="A292" s="27" t="s">
        <v>505</v>
      </c>
    </row>
    <row r="293" spans="1:1" ht="17" x14ac:dyDescent="0.2">
      <c r="A293" s="27" t="s">
        <v>506</v>
      </c>
    </row>
    <row r="294" spans="1:1" ht="17" x14ac:dyDescent="0.2">
      <c r="A294" s="27" t="s">
        <v>507</v>
      </c>
    </row>
    <row r="296" spans="1:1" ht="17" x14ac:dyDescent="0.2">
      <c r="A296" s="27" t="s">
        <v>508</v>
      </c>
    </row>
    <row r="297" spans="1:1" x14ac:dyDescent="0.2">
      <c r="A297" s="27" t="e" cm="1">
        <f t="array" ref="A297">- Standard career: no events</f>
        <v>#NAME?</v>
      </c>
    </row>
    <row r="298" spans="1:1" ht="17" x14ac:dyDescent="0.2">
      <c r="A298" s="27" t="s">
        <v>509</v>
      </c>
    </row>
    <row r="299" spans="1:1" ht="17" x14ac:dyDescent="0.2">
      <c r="A299" s="27" t="s">
        <v>510</v>
      </c>
    </row>
    <row r="300" spans="1:1" ht="17" x14ac:dyDescent="0.2">
      <c r="A300" s="27" t="s">
        <v>511</v>
      </c>
    </row>
    <row r="302" spans="1:1" ht="17" x14ac:dyDescent="0.2">
      <c r="A302" s="27" t="s">
        <v>512</v>
      </c>
    </row>
    <row r="303" spans="1:1" ht="17" x14ac:dyDescent="0.2">
      <c r="A303" s="27" t="s">
        <v>513</v>
      </c>
    </row>
    <row r="304" spans="1:1" ht="34" x14ac:dyDescent="0.2">
      <c r="A304" s="27" t="s">
        <v>514</v>
      </c>
    </row>
    <row r="305" spans="1:1" ht="17" x14ac:dyDescent="0.2">
      <c r="A305" s="27" t="s">
        <v>515</v>
      </c>
    </row>
    <row r="307" spans="1:1" ht="17" x14ac:dyDescent="0.2">
      <c r="A307" s="27" t="s">
        <v>516</v>
      </c>
    </row>
    <row r="308" spans="1:1" x14ac:dyDescent="0.2">
      <c r="A308" s="27" t="e" cm="1">
        <f t="array" ref="A308">- Peak earning age &amp; amount</f>
        <v>#NAME?</v>
      </c>
    </row>
    <row r="309" spans="1:1" ht="17" x14ac:dyDescent="0.2">
      <c r="A309" s="27" t="s">
        <v>517</v>
      </c>
    </row>
    <row r="310" spans="1:1" ht="17" x14ac:dyDescent="0.2">
      <c r="A310" s="27" t="s">
        <v>518</v>
      </c>
    </row>
    <row r="311" spans="1:1" ht="17" x14ac:dyDescent="0.2">
      <c r="A311" s="27" t="s">
        <v>519</v>
      </c>
    </row>
    <row r="312" spans="1:1" x14ac:dyDescent="0.2">
      <c r="A312" s="27" t="e" cm="1">
        <f t="array" ref="A312">- Income replacement ratio at retirement = (passive Income at retirement) / (Pre-retirement Income)</f>
        <v>#NAME?</v>
      </c>
    </row>
    <row r="314" spans="1:1" ht="17" x14ac:dyDescent="0.2">
      <c r="A314" s="27" t="s">
        <v>520</v>
      </c>
    </row>
    <row r="315" spans="1:1" ht="17" x14ac:dyDescent="0.2">
      <c r="A315" s="27" t="s">
        <v>521</v>
      </c>
    </row>
    <row r="316" spans="1:1" x14ac:dyDescent="0.2">
      <c r="A316" s="27" t="e" cm="1">
        <f t="array" ref="A316">- FIRE profile: Total annual savings &gt; _xleta.TIME-to-FIRE</f>
        <v>#NAME?</v>
      </c>
    </row>
    <row r="317" spans="1:1" ht="17" x14ac:dyDescent="0.2">
      <c r="A317" s="27" t="s">
        <v>522</v>
      </c>
    </row>
    <row r="318" spans="1:1" ht="17" x14ac:dyDescent="0.2">
      <c r="A318" s="27" t="s">
        <v>523</v>
      </c>
    </row>
    <row r="319" spans="1:1" ht="17" x14ac:dyDescent="0.2">
      <c r="A319" s="27" t="s">
        <v>524</v>
      </c>
    </row>
    <row r="320" spans="1:1" x14ac:dyDescent="0.2">
      <c r="A320" s="27" t="e">
        <f>- FIRE Dashboard: Income replacement ratio, savings trajectory</f>
        <v>#NAME?</v>
      </c>
    </row>
    <row r="321" spans="1:1" ht="17" x14ac:dyDescent="0.2">
      <c r="A321" s="27" t="s">
        <v>525</v>
      </c>
    </row>
    <row r="322" spans="1:1" x14ac:dyDescent="0.2">
      <c r="A322" s="27" t="e" cm="1">
        <f t="array" ref="A322">- CPF projections: employment Income drives OA/SA/MA contributions</f>
        <v>#NAME?</v>
      </c>
    </row>
    <row r="324" spans="1:1" ht="17" x14ac:dyDescent="0.2">
      <c r="A324" s="27" t="s">
        <v>526</v>
      </c>
    </row>
    <row r="325" spans="1:1" ht="17" x14ac:dyDescent="0.2">
      <c r="A325" s="27" t="s">
        <v>527</v>
      </c>
    </row>
    <row r="326" spans="1:1" ht="17" x14ac:dyDescent="0.2">
      <c r="A326" s="27" t="s">
        <v>528</v>
      </c>
    </row>
    <row r="327" spans="1:1" ht="17" x14ac:dyDescent="0.2">
      <c r="A327" s="27" t="s">
        <v>529</v>
      </c>
    </row>
    <row r="328" spans="1:1" ht="17" x14ac:dyDescent="0.2">
      <c r="A328" s="27" t="s">
        <v>530</v>
      </c>
    </row>
    <row r="329" spans="1:1" ht="17" x14ac:dyDescent="0.2">
      <c r="A329" s="27" t="s">
        <v>531</v>
      </c>
    </row>
    <row r="330" spans="1:1" ht="17" x14ac:dyDescent="0.2">
      <c r="A330" s="27" t="s">
        <v>532</v>
      </c>
    </row>
    <row r="331" spans="1:1" ht="17" x14ac:dyDescent="0.2">
      <c r="A331" s="27" t="s">
        <v>533</v>
      </c>
    </row>
    <row r="332" spans="1:1" ht="17" x14ac:dyDescent="0.2">
      <c r="A332" s="27" t="s">
        <v>534</v>
      </c>
    </row>
    <row r="333" spans="1:1" ht="17" x14ac:dyDescent="0.2">
      <c r="A333" s="27" t="s">
        <v>535</v>
      </c>
    </row>
    <row r="335" spans="1:1" ht="17" x14ac:dyDescent="0.2">
      <c r="A335" s="27" t="s">
        <v>536</v>
      </c>
    </row>
    <row r="337" spans="1:1" ht="17" x14ac:dyDescent="0.2">
      <c r="A337" s="27" t="s">
        <v>537</v>
      </c>
    </row>
    <row r="338" spans="1:1" ht="17" x14ac:dyDescent="0.2">
      <c r="A338" s="27" t="s">
        <v>538</v>
      </c>
    </row>
    <row r="339" spans="1:1" ht="17" x14ac:dyDescent="0.2">
      <c r="A339" s="27" t="s">
        <v>539</v>
      </c>
    </row>
    <row r="340" spans="1:1" ht="17" x14ac:dyDescent="0.2">
      <c r="A340" s="27" t="s">
        <v>540</v>
      </c>
    </row>
    <row r="341" spans="1:1" ht="17" x14ac:dyDescent="0.2">
      <c r="A341" s="27" t="s">
        <v>541</v>
      </c>
    </row>
    <row r="342" spans="1:1" ht="17" x14ac:dyDescent="0.2">
      <c r="A342" s="27" t="s">
        <v>542</v>
      </c>
    </row>
    <row r="343" spans="1:1" ht="17" x14ac:dyDescent="0.2">
      <c r="A343" s="27" t="s">
        <v>543</v>
      </c>
    </row>
    <row r="344" spans="1:1" ht="17" x14ac:dyDescent="0.2">
      <c r="A344" s="27" t="s">
        <v>544</v>
      </c>
    </row>
    <row r="345" spans="1:1" ht="17" x14ac:dyDescent="0.2">
      <c r="A345" s="27" t="s">
        <v>545</v>
      </c>
    </row>
    <row r="346" spans="1:1" ht="17" x14ac:dyDescent="0.2">
      <c r="A346" s="27" t="s">
        <v>546</v>
      </c>
    </row>
    <row r="347" spans="1:1" ht="17" x14ac:dyDescent="0.2">
      <c r="A347" s="27" t="s">
        <v>547</v>
      </c>
    </row>
    <row r="348" spans="1:1" ht="17" x14ac:dyDescent="0.2">
      <c r="A348" s="27" t="s">
        <v>548</v>
      </c>
    </row>
    <row r="349" spans="1:1" ht="17" x14ac:dyDescent="0.2">
      <c r="A349" s="27" t="s">
        <v>549</v>
      </c>
    </row>
    <row r="351" spans="1:1" ht="17" x14ac:dyDescent="0.2">
      <c r="A351" s="27" t="s">
        <v>550</v>
      </c>
    </row>
    <row r="352" spans="1:1" ht="17" x14ac:dyDescent="0.2">
      <c r="A352" s="27" t="s">
        <v>551</v>
      </c>
    </row>
    <row r="354" spans="1:1" ht="17" x14ac:dyDescent="0.2">
      <c r="A354" s="27" t="s">
        <v>552</v>
      </c>
    </row>
    <row r="355" spans="1:1" ht="17" x14ac:dyDescent="0.2">
      <c r="A355" s="27" t="s">
        <v>553</v>
      </c>
    </row>
    <row r="356" spans="1:1" x14ac:dyDescent="0.2">
      <c r="A356" s="27" t="e" cm="1">
        <f t="array" ref="A356">- STI: SGX / Yahoo Finance Historical</f>
        <v>#NAME?</v>
      </c>
    </row>
    <row r="357" spans="1:1" ht="17" x14ac:dyDescent="0.2">
      <c r="A357" s="27" t="s">
        <v>554</v>
      </c>
    </row>
    <row r="358" spans="1:1" x14ac:dyDescent="0.2">
      <c r="A358" s="27" t="e" cm="1">
        <f t="array" ref="A358">- SG CPI: Singapore DOS (Department of Statistics)</f>
        <v>#NAME?</v>
      </c>
    </row>
    <row r="359" spans="1:1" x14ac:dyDescent="0.2">
      <c r="A359" s="27" t="e" cm="1">
        <f t="array" ref="A359">- Gold: London Bullion Market</f>
        <v>#NAME?</v>
      </c>
    </row>
    <row r="360" spans="1:1" x14ac:dyDescent="0.2">
      <c r="A360" s="27" t="e" cm="1">
        <f t="array" ref="A360">- REITs: FTSE NAREIT / FTSE EPRA</f>
        <v>#NAME?</v>
      </c>
    </row>
    <row r="361" spans="1:1" x14ac:dyDescent="0.2">
      <c r="A361" s="27" t="e" cm="1">
        <f t="array" ref="A361">- MSCI World ex-US: MSCI</f>
        <v>#NAME?</v>
      </c>
    </row>
    <row r="363" spans="1:1" ht="17" x14ac:dyDescent="0.2">
      <c r="A363" s="27" t="s">
        <v>555</v>
      </c>
    </row>
    <row r="365" spans="1:1" ht="17" x14ac:dyDescent="0.2">
      <c r="A365" s="27" t="s">
        <v>556</v>
      </c>
    </row>
    <row r="367" spans="1:1" ht="17" x14ac:dyDescent="0.2">
      <c r="A367" s="27" t="s">
        <v>557</v>
      </c>
    </row>
    <row r="368" spans="1:1" ht="17" x14ac:dyDescent="0.2">
      <c r="A368" s="27" t="s">
        <v>558</v>
      </c>
    </row>
    <row r="369" spans="1:1" ht="17" x14ac:dyDescent="0.2">
      <c r="A369" s="27" t="s">
        <v>559</v>
      </c>
    </row>
    <row r="370" spans="1:1" ht="17" x14ac:dyDescent="0.2">
      <c r="A370" s="27" t="s">
        <v>560</v>
      </c>
    </row>
    <row r="371" spans="1:1" ht="17" x14ac:dyDescent="0.2">
      <c r="A371" s="27" t="s">
        <v>561</v>
      </c>
    </row>
    <row r="372" spans="1:1" ht="17" x14ac:dyDescent="0.2">
      <c r="A372" s="27" t="s">
        <v>562</v>
      </c>
    </row>
    <row r="373" spans="1:1" ht="17" x14ac:dyDescent="0.2">
      <c r="A373" s="27" t="s">
        <v>563</v>
      </c>
    </row>
    <row r="374" spans="1:1" ht="17" x14ac:dyDescent="0.2">
      <c r="A374" s="27" t="s">
        <v>564</v>
      </c>
    </row>
    <row r="375" spans="1:1" ht="17" x14ac:dyDescent="0.2">
      <c r="A375" s="27" t="s">
        <v>565</v>
      </c>
    </row>
    <row r="376" spans="1:1" ht="17" x14ac:dyDescent="0.2">
      <c r="A376" s="27" t="s">
        <v>566</v>
      </c>
    </row>
    <row r="377" spans="1:1" ht="17" x14ac:dyDescent="0.2">
      <c r="A377" s="27" t="s">
        <v>567</v>
      </c>
    </row>
    <row r="379" spans="1:1" ht="17" x14ac:dyDescent="0.2">
      <c r="A379" s="27" t="s">
        <v>568</v>
      </c>
    </row>
    <row r="381" spans="1:1" ht="17" x14ac:dyDescent="0.2">
      <c r="A381" s="27" t="s">
        <v>569</v>
      </c>
    </row>
    <row r="382" spans="1:1" ht="17" x14ac:dyDescent="0.2">
      <c r="A382" s="27" t="s">
        <v>570</v>
      </c>
    </row>
    <row r="383" spans="1:1" ht="17" x14ac:dyDescent="0.2">
      <c r="A383" s="27" t="s">
        <v>571</v>
      </c>
    </row>
    <row r="384" spans="1:1" ht="17" x14ac:dyDescent="0.2">
      <c r="A384" s="27" t="s">
        <v>572</v>
      </c>
    </row>
    <row r="385" spans="1:1" ht="17" x14ac:dyDescent="0.2">
      <c r="A385" s="27" t="s">
        <v>573</v>
      </c>
    </row>
    <row r="386" spans="1:1" ht="17" x14ac:dyDescent="0.2">
      <c r="A386" s="27" t="s">
        <v>574</v>
      </c>
    </row>
    <row r="387" spans="1:1" ht="17" x14ac:dyDescent="0.2">
      <c r="A387" s="27" t="s">
        <v>575</v>
      </c>
    </row>
    <row r="388" spans="1:1" ht="17" x14ac:dyDescent="0.2">
      <c r="A388" s="27" t="s">
        <v>576</v>
      </c>
    </row>
    <row r="390" spans="1:1" ht="17" x14ac:dyDescent="0.2">
      <c r="A390" s="27" t="s">
        <v>577</v>
      </c>
    </row>
    <row r="391" spans="1:1" ht="17" x14ac:dyDescent="0.2">
      <c r="A391" s="27" t="s">
        <v>578</v>
      </c>
    </row>
    <row r="392" spans="1:1" ht="17" x14ac:dyDescent="0.2">
      <c r="A392" s="27" t="s">
        <v>579</v>
      </c>
    </row>
    <row r="393" spans="1:1" ht="17" x14ac:dyDescent="0.2">
      <c r="A393" s="27" t="s">
        <v>580</v>
      </c>
    </row>
    <row r="394" spans="1:1" ht="17" x14ac:dyDescent="0.2">
      <c r="A394" s="27" t="s">
        <v>581</v>
      </c>
    </row>
    <row r="396" spans="1:1" ht="17" x14ac:dyDescent="0.2">
      <c r="A396" s="27" t="s">
        <v>582</v>
      </c>
    </row>
    <row r="397" spans="1:1" ht="17" x14ac:dyDescent="0.2">
      <c r="A397" s="27" t="s">
        <v>583</v>
      </c>
    </row>
    <row r="398" spans="1:1" ht="17" x14ac:dyDescent="0.2">
      <c r="A398" s="27" t="s">
        <v>584</v>
      </c>
    </row>
    <row r="399" spans="1:1" ht="17" x14ac:dyDescent="0.2">
      <c r="A399" s="27" t="s">
        <v>585</v>
      </c>
    </row>
    <row r="400" spans="1:1" ht="17" x14ac:dyDescent="0.2">
      <c r="A400" s="27" t="s">
        <v>586</v>
      </c>
    </row>
    <row r="401" spans="1:1" ht="17" x14ac:dyDescent="0.2">
      <c r="A401" s="27" t="s">
        <v>587</v>
      </c>
    </row>
    <row r="402" spans="1:1" ht="17" x14ac:dyDescent="0.2">
      <c r="A402" s="27" t="s">
        <v>588</v>
      </c>
    </row>
    <row r="403" spans="1:1" ht="17" x14ac:dyDescent="0.2">
      <c r="A403" s="27" t="s">
        <v>589</v>
      </c>
    </row>
    <row r="405" spans="1:1" ht="17" x14ac:dyDescent="0.2">
      <c r="A405" s="27" t="s">
        <v>590</v>
      </c>
    </row>
    <row r="406" spans="1:1" ht="17" x14ac:dyDescent="0.2">
      <c r="A406" s="27" t="s">
        <v>591</v>
      </c>
    </row>
    <row r="408" spans="1:1" ht="17" x14ac:dyDescent="0.2">
      <c r="A408" s="27" t="s">
        <v>592</v>
      </c>
    </row>
    <row r="409" spans="1:1" ht="17" x14ac:dyDescent="0.2">
      <c r="A409" s="27" t="s">
        <v>593</v>
      </c>
    </row>
    <row r="411" spans="1:1" ht="17" x14ac:dyDescent="0.2">
      <c r="A411" s="27" t="s">
        <v>594</v>
      </c>
    </row>
    <row r="413" spans="1:1" ht="17" x14ac:dyDescent="0.2">
      <c r="A413" s="27" t="s">
        <v>595</v>
      </c>
    </row>
    <row r="415" spans="1:1" ht="17" x14ac:dyDescent="0.2">
      <c r="A415" s="27" t="s">
        <v>596</v>
      </c>
    </row>
    <row r="416" spans="1:1" ht="17" x14ac:dyDescent="0.2">
      <c r="A416" s="27" t="s">
        <v>597</v>
      </c>
    </row>
    <row r="417" spans="1:1" ht="17" x14ac:dyDescent="0.2">
      <c r="A417" s="27" t="s">
        <v>598</v>
      </c>
    </row>
    <row r="418" spans="1:1" ht="17" x14ac:dyDescent="0.2">
      <c r="A418" s="27" t="s">
        <v>599</v>
      </c>
    </row>
    <row r="419" spans="1:1" ht="17" x14ac:dyDescent="0.2">
      <c r="A419" s="27" t="s">
        <v>600</v>
      </c>
    </row>
    <row r="420" spans="1:1" ht="17" x14ac:dyDescent="0.2">
      <c r="A420" s="27" t="s">
        <v>601</v>
      </c>
    </row>
    <row r="421" spans="1:1" ht="17" x14ac:dyDescent="0.2">
      <c r="A421" s="27" t="s">
        <v>602</v>
      </c>
    </row>
    <row r="422" spans="1:1" ht="17" x14ac:dyDescent="0.2">
      <c r="A422" s="27" t="s">
        <v>603</v>
      </c>
    </row>
    <row r="424" spans="1:1" ht="17" x14ac:dyDescent="0.2">
      <c r="A424" s="27" t="s">
        <v>604</v>
      </c>
    </row>
    <row r="425" spans="1:1" x14ac:dyDescent="0.2">
      <c r="A425" s="27" t="e" cm="1">
        <f t="array" aca="1" ref="A425" ca="1">- run_monte_carlo(initial_portfolio, annual_contributions, annual_withdrawals, expected_returns, std_devs, correlation_matrix, weights, n_simulations=10000, n_years=30, withdrawal_strategy, swr, inflation)</f>
        <v>#NAME?</v>
      </c>
    </row>
    <row r="426" spans="1:1" ht="17" x14ac:dyDescent="0.2">
      <c r="A426" s="27" t="s">
        <v>605</v>
      </c>
    </row>
    <row r="427" spans="1:1" ht="17" x14ac:dyDescent="0.2">
      <c r="A427" s="27" t="s">
        <v>606</v>
      </c>
    </row>
    <row r="428" spans="1:1" ht="17" x14ac:dyDescent="0.2">
      <c r="A428" s="27" t="s">
        <v>607</v>
      </c>
    </row>
    <row r="429" spans="1:1" ht="17" x14ac:dyDescent="0.2">
      <c r="A429" s="27" t="s">
        <v>608</v>
      </c>
    </row>
    <row r="430" spans="1:1" ht="17" x14ac:dyDescent="0.2">
      <c r="A430" s="27" t="s">
        <v>609</v>
      </c>
    </row>
    <row r="432" spans="1:1" ht="17" x14ac:dyDescent="0.2">
      <c r="A432" s="27" t="s">
        <v>610</v>
      </c>
    </row>
    <row r="433" spans="1:1" ht="17" x14ac:dyDescent="0.2">
      <c r="A433" s="27" t="s">
        <v>611</v>
      </c>
    </row>
    <row r="434" spans="1:1" ht="17" x14ac:dyDescent="0.2">
      <c r="A434" s="27" t="s">
        <v>612</v>
      </c>
    </row>
    <row r="435" spans="1:1" ht="17" x14ac:dyDescent="0.2">
      <c r="A435" s="27" t="s">
        <v>613</v>
      </c>
    </row>
    <row r="437" spans="1:1" ht="17" x14ac:dyDescent="0.2">
      <c r="A437" s="27" t="s">
        <v>614</v>
      </c>
    </row>
    <row r="438" spans="1:1" ht="17" x14ac:dyDescent="0.2">
      <c r="A438" s="27" t="s">
        <v>615</v>
      </c>
    </row>
    <row r="439" spans="1:1" ht="17" x14ac:dyDescent="0.2">
      <c r="A439" s="27" t="s">
        <v>616</v>
      </c>
    </row>
    <row r="440" spans="1:1" ht="17" x14ac:dyDescent="0.2">
      <c r="A440" s="27" t="s">
        <v>617</v>
      </c>
    </row>
    <row r="441" spans="1:1" ht="17" x14ac:dyDescent="0.2">
      <c r="A441" s="27" t="s">
        <v>618</v>
      </c>
    </row>
    <row r="442" spans="1:1" ht="17" x14ac:dyDescent="0.2">
      <c r="A442" s="27" t="s">
        <v>619</v>
      </c>
    </row>
    <row r="443" spans="1:1" ht="17" x14ac:dyDescent="0.2">
      <c r="A443" s="27" t="s">
        <v>620</v>
      </c>
    </row>
    <row r="444" spans="1:1" ht="17" x14ac:dyDescent="0.2">
      <c r="A444" s="27" t="s">
        <v>621</v>
      </c>
    </row>
    <row r="445" spans="1:1" ht="17" x14ac:dyDescent="0.2">
      <c r="A445" s="27" t="s">
        <v>622</v>
      </c>
    </row>
    <row r="447" spans="1:1" ht="17" x14ac:dyDescent="0.2">
      <c r="A447" s="27" t="s">
        <v>623</v>
      </c>
    </row>
    <row r="448" spans="1:1" ht="17" x14ac:dyDescent="0.2">
      <c r="A448" s="27" t="s">
        <v>624</v>
      </c>
    </row>
    <row r="449" spans="1:1" ht="17" x14ac:dyDescent="0.2">
      <c r="A449" s="27" t="s">
        <v>625</v>
      </c>
    </row>
    <row r="450" spans="1:1" ht="17" x14ac:dyDescent="0.2">
      <c r="A450" s="27" t="s">
        <v>626</v>
      </c>
    </row>
    <row r="452" spans="1:1" ht="17" x14ac:dyDescent="0.2">
      <c r="A452" s="27" t="s">
        <v>627</v>
      </c>
    </row>
    <row r="453" spans="1:1" ht="17" x14ac:dyDescent="0.2">
      <c r="A453" s="27" t="s">
        <v>628</v>
      </c>
    </row>
    <row r="454" spans="1:1" ht="17" x14ac:dyDescent="0.2">
      <c r="A454" s="27" t="s">
        <v>629</v>
      </c>
    </row>
    <row r="455" spans="1:1" ht="17" x14ac:dyDescent="0.2">
      <c r="A455" s="27" t="s">
        <v>630</v>
      </c>
    </row>
    <row r="456" spans="1:1" ht="17" x14ac:dyDescent="0.2">
      <c r="A456" s="27" t="s">
        <v>631</v>
      </c>
    </row>
    <row r="457" spans="1:1" ht="17" x14ac:dyDescent="0.2">
      <c r="A457" s="27" t="s">
        <v>632</v>
      </c>
    </row>
    <row r="459" spans="1:1" ht="17" x14ac:dyDescent="0.2">
      <c r="A459" s="27" t="s">
        <v>633</v>
      </c>
    </row>
    <row r="460" spans="1:1" ht="17" x14ac:dyDescent="0.2">
      <c r="A460" s="27" t="s">
        <v>634</v>
      </c>
    </row>
    <row r="461" spans="1:1" ht="17" x14ac:dyDescent="0.2">
      <c r="A461" s="27" t="s">
        <v>635</v>
      </c>
    </row>
    <row r="462" spans="1:1" ht="17" x14ac:dyDescent="0.2">
      <c r="A462" s="27" t="s">
        <v>636</v>
      </c>
    </row>
    <row r="463" spans="1:1" ht="17" x14ac:dyDescent="0.2">
      <c r="A463" s="27" t="s">
        <v>637</v>
      </c>
    </row>
    <row r="464" spans="1:1" ht="17" x14ac:dyDescent="0.2">
      <c r="A464" s="27" t="s">
        <v>638</v>
      </c>
    </row>
    <row r="465" spans="1:1" ht="17" x14ac:dyDescent="0.2">
      <c r="A465" s="27" t="s">
        <v>639</v>
      </c>
    </row>
    <row r="466" spans="1:1" ht="17" x14ac:dyDescent="0.2">
      <c r="A466" s="27" t="s">
        <v>640</v>
      </c>
    </row>
    <row r="467" spans="1:1" ht="17" x14ac:dyDescent="0.2">
      <c r="A467" s="27" t="s">
        <v>641</v>
      </c>
    </row>
    <row r="469" spans="1:1" ht="17" x14ac:dyDescent="0.2">
      <c r="A469" s="27" t="s">
        <v>642</v>
      </c>
    </row>
    <row r="471" spans="1:1" ht="17" x14ac:dyDescent="0.2">
      <c r="A471" s="27" t="s">
        <v>643</v>
      </c>
    </row>
    <row r="473" spans="1:1" ht="17" x14ac:dyDescent="0.2">
      <c r="A473" s="27" t="s">
        <v>644</v>
      </c>
    </row>
    <row r="474" spans="1:1" ht="17" x14ac:dyDescent="0.2">
      <c r="A474" s="27" t="s">
        <v>645</v>
      </c>
    </row>
    <row r="475" spans="1:1" ht="17" x14ac:dyDescent="0.2">
      <c r="A475" s="27" t="s">
        <v>646</v>
      </c>
    </row>
    <row r="476" spans="1:1" x14ac:dyDescent="0.2">
      <c r="A476" s="27" t="e" cm="1">
        <f t="array" ref="A476">- no adjustment for portfolio performance</f>
        <v>#NAME?</v>
      </c>
    </row>
    <row r="477" spans="1:1" x14ac:dyDescent="0.2">
      <c r="A477" s="27" t="e" cm="1">
        <f t="array" ref="A477">- Pros: Simple, predictable Income / Cons: Ignores portfolio reality</f>
        <v>#NAME?</v>
      </c>
    </row>
    <row r="479" spans="1:1" ht="17" x14ac:dyDescent="0.2">
      <c r="A479" s="27" t="s">
        <v>647</v>
      </c>
    </row>
    <row r="480" spans="1:1" ht="17" x14ac:dyDescent="0.2">
      <c r="A480" s="27" t="s">
        <v>648</v>
      </c>
    </row>
    <row r="481" spans="1:1" ht="17" x14ac:dyDescent="0.2">
      <c r="A481" s="27" t="s">
        <v>649</v>
      </c>
    </row>
    <row r="482" spans="1:1" x14ac:dyDescent="0.2">
      <c r="A482" s="27" t="e" cm="1">
        <f t="array" ref="A482">- Pros: Adjusts to portfolio size, mathematically optimal / Cons: Highly variable Income</f>
        <v>#NAME?</v>
      </c>
    </row>
    <row r="484" spans="1:1" ht="17" x14ac:dyDescent="0.2">
      <c r="A484" s="27" t="s">
        <v>650</v>
      </c>
    </row>
    <row r="485" spans="1:1" ht="17" x14ac:dyDescent="0.2">
      <c r="A485" s="27" t="s">
        <v>651</v>
      </c>
    </row>
    <row r="486" spans="1:1" ht="17" x14ac:dyDescent="0.2">
      <c r="A486" s="27" t="s">
        <v>652</v>
      </c>
    </row>
    <row r="487" spans="1:1" ht="17" x14ac:dyDescent="0.2">
      <c r="A487" s="27" t="s">
        <v>653</v>
      </c>
    </row>
    <row r="488" spans="1:1" ht="17" x14ac:dyDescent="0.2">
      <c r="A488" s="27" t="s">
        <v>654</v>
      </c>
    </row>
    <row r="490" spans="1:1" ht="17" x14ac:dyDescent="0.2">
      <c r="A490" s="27" t="s">
        <v>655</v>
      </c>
    </row>
    <row r="491" spans="1:1" ht="17" x14ac:dyDescent="0.2">
      <c r="A491" s="27" t="s">
        <v>656</v>
      </c>
    </row>
    <row r="492" spans="1:1" ht="17" x14ac:dyDescent="0.2">
      <c r="A492" s="27" t="s">
        <v>657</v>
      </c>
    </row>
    <row r="493" spans="1:1" ht="17" x14ac:dyDescent="0.2">
      <c r="A493" s="27" t="s">
        <v>658</v>
      </c>
    </row>
    <row r="494" spans="1:1" ht="17" x14ac:dyDescent="0.2">
      <c r="A494" s="27" t="s">
        <v>659</v>
      </c>
    </row>
    <row r="495" spans="1:1" x14ac:dyDescent="0.2">
      <c r="A495" s="27" t="e" cm="1">
        <f t="array" ref="A495">- Pros: Smooth spending, moderate flexibility / Cons: Can still deplete in severe downturns</f>
        <v>#NAME?</v>
      </c>
    </row>
    <row r="497" spans="1:1" ht="17" x14ac:dyDescent="0.2">
      <c r="A497" s="27" t="s">
        <v>660</v>
      </c>
    </row>
    <row r="498" spans="1:1" ht="17" x14ac:dyDescent="0.2">
      <c r="A498" s="27" t="s">
        <v>661</v>
      </c>
    </row>
    <row r="499" spans="1:1" ht="17" x14ac:dyDescent="0.2">
      <c r="A499" s="27" t="s">
        <v>662</v>
      </c>
    </row>
    <row r="500" spans="1:1" x14ac:dyDescent="0.2">
      <c r="A500" s="27" t="e" cm="1">
        <f t="array" ref="A500">- Pros: Valuation-aware, historically robust / Cons: Requires CAPE data, spending varies</f>
        <v>#NAME?</v>
      </c>
    </row>
    <row r="502" spans="1:1" ht="17" x14ac:dyDescent="0.2">
      <c r="A502" s="27" t="s">
        <v>663</v>
      </c>
    </row>
    <row r="503" spans="1:1" ht="17" x14ac:dyDescent="0.2">
      <c r="A503" s="27" t="s">
        <v>664</v>
      </c>
    </row>
    <row r="504" spans="1:1" ht="17" x14ac:dyDescent="0.2">
      <c r="A504" s="27" t="s">
        <v>665</v>
      </c>
    </row>
    <row r="505" spans="1:1" ht="17" x14ac:dyDescent="0.2">
      <c r="A505" s="27" t="s">
        <v>666</v>
      </c>
    </row>
    <row r="506" spans="1:1" ht="17" x14ac:dyDescent="0.2">
      <c r="A506" s="27" t="s">
        <v>667</v>
      </c>
    </row>
    <row r="508" spans="1:1" ht="17" x14ac:dyDescent="0.2">
      <c r="A508" s="27" t="s">
        <v>610</v>
      </c>
    </row>
    <row r="509" spans="1:1" ht="17" x14ac:dyDescent="0.2">
      <c r="A509" s="27" t="s">
        <v>668</v>
      </c>
    </row>
    <row r="511" spans="1:1" ht="17" x14ac:dyDescent="0.2">
      <c r="A511" s="27" t="s">
        <v>669</v>
      </c>
    </row>
    <row r="512" spans="1:1" ht="17" x14ac:dyDescent="0.2">
      <c r="A512" s="27" t="s">
        <v>670</v>
      </c>
    </row>
    <row r="513" spans="1:1" ht="17" x14ac:dyDescent="0.2">
      <c r="A513" s="27" t="s">
        <v>671</v>
      </c>
    </row>
    <row r="514" spans="1:1" ht="17" x14ac:dyDescent="0.2">
      <c r="A514" s="27" t="s">
        <v>672</v>
      </c>
    </row>
    <row r="515" spans="1:1" ht="17" x14ac:dyDescent="0.2">
      <c r="A515" s="27" t="s">
        <v>673</v>
      </c>
    </row>
    <row r="516" spans="1:1" ht="17" x14ac:dyDescent="0.2">
      <c r="A516" s="27" t="s">
        <v>674</v>
      </c>
    </row>
    <row r="517" spans="1:1" ht="17" x14ac:dyDescent="0.2">
      <c r="A517" s="27" t="s">
        <v>675</v>
      </c>
    </row>
    <row r="519" spans="1:1" ht="17" x14ac:dyDescent="0.2">
      <c r="A519" s="27" t="s">
        <v>676</v>
      </c>
    </row>
    <row r="520" spans="1:1" ht="17" x14ac:dyDescent="0.2">
      <c r="A520" s="27" t="s">
        <v>677</v>
      </c>
    </row>
    <row r="522" spans="1:1" ht="17" x14ac:dyDescent="0.2">
      <c r="A522" s="27" t="s">
        <v>678</v>
      </c>
    </row>
    <row r="523" spans="1:1" ht="17" x14ac:dyDescent="0.2">
      <c r="A523" s="27" t="s">
        <v>679</v>
      </c>
    </row>
    <row r="524" spans="1:1" ht="17" x14ac:dyDescent="0.2">
      <c r="A524" s="27" t="s">
        <v>680</v>
      </c>
    </row>
    <row r="526" spans="1:1" ht="17" x14ac:dyDescent="0.2">
      <c r="A526" s="27" t="s">
        <v>681</v>
      </c>
    </row>
    <row r="528" spans="1:1" ht="17" x14ac:dyDescent="0.2">
      <c r="A528" s="27" t="s">
        <v>682</v>
      </c>
    </row>
    <row r="529" spans="1:1" ht="17" x14ac:dyDescent="0.2">
      <c r="A529" s="27" t="s">
        <v>683</v>
      </c>
    </row>
    <row r="530" spans="1:1" ht="17" x14ac:dyDescent="0.2">
      <c r="A530" s="27" t="s">
        <v>684</v>
      </c>
    </row>
    <row r="531" spans="1:1" ht="17" x14ac:dyDescent="0.2">
      <c r="A531" s="27" t="s">
        <v>685</v>
      </c>
    </row>
    <row r="532" spans="1:1" ht="17" x14ac:dyDescent="0.2">
      <c r="A532" s="27" t="s">
        <v>686</v>
      </c>
    </row>
    <row r="533" spans="1:1" ht="17" x14ac:dyDescent="0.2">
      <c r="A533" s="27" t="s">
        <v>687</v>
      </c>
    </row>
    <row r="534" spans="1:1" ht="17" x14ac:dyDescent="0.2">
      <c r="A534" s="27" t="s">
        <v>688</v>
      </c>
    </row>
    <row r="535" spans="1:1" ht="17" x14ac:dyDescent="0.2">
      <c r="A535" s="27" t="s">
        <v>689</v>
      </c>
    </row>
    <row r="536" spans="1:1" ht="17" x14ac:dyDescent="0.2">
      <c r="A536" s="27" t="s">
        <v>690</v>
      </c>
    </row>
    <row r="537" spans="1:1" ht="17" x14ac:dyDescent="0.2">
      <c r="A537" s="27" t="s">
        <v>691</v>
      </c>
    </row>
    <row r="539" spans="1:1" ht="17" x14ac:dyDescent="0.2">
      <c r="A539" s="27" t="s">
        <v>610</v>
      </c>
    </row>
    <row r="540" spans="1:1" ht="17" x14ac:dyDescent="0.2">
      <c r="A540" s="27" t="s">
        <v>692</v>
      </c>
    </row>
    <row r="542" spans="1:1" ht="17" x14ac:dyDescent="0.2">
      <c r="A542" s="27" t="s">
        <v>693</v>
      </c>
    </row>
    <row r="543" spans="1:1" ht="17" x14ac:dyDescent="0.2">
      <c r="A543" s="27" t="s">
        <v>694</v>
      </c>
    </row>
    <row r="544" spans="1:1" ht="17" x14ac:dyDescent="0.2">
      <c r="A544" s="27" t="s">
        <v>695</v>
      </c>
    </row>
    <row r="546" spans="1:1" ht="17" x14ac:dyDescent="0.2">
      <c r="A546" s="27" t="s">
        <v>696</v>
      </c>
    </row>
    <row r="547" spans="1:1" ht="17" x14ac:dyDescent="0.2">
      <c r="A547" s="27" t="s">
        <v>697</v>
      </c>
    </row>
    <row r="548" spans="1:1" ht="17" x14ac:dyDescent="0.2">
      <c r="A548" s="27" t="s">
        <v>698</v>
      </c>
    </row>
    <row r="550" spans="1:1" ht="17" x14ac:dyDescent="0.2">
      <c r="A550" s="27" t="s">
        <v>699</v>
      </c>
    </row>
    <row r="551" spans="1:1" ht="17" x14ac:dyDescent="0.2">
      <c r="A551" s="27" t="s">
        <v>700</v>
      </c>
    </row>
    <row r="552" spans="1:1" ht="17" x14ac:dyDescent="0.2">
      <c r="A552" s="27" t="s">
        <v>701</v>
      </c>
    </row>
    <row r="553" spans="1:1" ht="17" x14ac:dyDescent="0.2">
      <c r="A553" s="27" t="s">
        <v>702</v>
      </c>
    </row>
    <row r="554" spans="1:1" ht="17" x14ac:dyDescent="0.2">
      <c r="A554" s="27" t="s">
        <v>703</v>
      </c>
    </row>
    <row r="555" spans="1:1" x14ac:dyDescent="0.2">
      <c r="A555" s="27" t="e" cm="1">
        <f t="array" ref="A555">- Delay retirement: wait for recovery before retiring</f>
        <v>#NAME?</v>
      </c>
    </row>
    <row r="557" spans="1:1" ht="17" x14ac:dyDescent="0.2">
      <c r="A557" s="27" t="s">
        <v>704</v>
      </c>
    </row>
    <row r="559" spans="1:1" ht="17" x14ac:dyDescent="0.2">
      <c r="A559" s="27" t="s">
        <v>705</v>
      </c>
    </row>
    <row r="561" spans="1:1" ht="17" x14ac:dyDescent="0.2">
      <c r="A561" s="27" t="s">
        <v>706</v>
      </c>
    </row>
    <row r="562" spans="1:1" ht="17" x14ac:dyDescent="0.2">
      <c r="A562" s="27" t="s">
        <v>707</v>
      </c>
    </row>
    <row r="563" spans="1:1" ht="17" x14ac:dyDescent="0.2">
      <c r="A563" s="27" t="s">
        <v>708</v>
      </c>
    </row>
    <row r="564" spans="1:1" ht="17" x14ac:dyDescent="0.2">
      <c r="A564" s="27" t="s">
        <v>709</v>
      </c>
    </row>
    <row r="565" spans="1:1" ht="17" x14ac:dyDescent="0.2">
      <c r="A565" s="27" t="s">
        <v>710</v>
      </c>
    </row>
    <row r="566" spans="1:1" ht="17" x14ac:dyDescent="0.2">
      <c r="A566" s="27" t="s">
        <v>711</v>
      </c>
    </row>
    <row r="567" spans="1:1" ht="17" x14ac:dyDescent="0.2">
      <c r="A567" s="27" t="s">
        <v>712</v>
      </c>
    </row>
    <row r="568" spans="1:1" ht="17" x14ac:dyDescent="0.2">
      <c r="A568" s="27" t="s">
        <v>713</v>
      </c>
    </row>
    <row r="569" spans="1:1" ht="17" x14ac:dyDescent="0.2">
      <c r="A569" s="27" t="s">
        <v>714</v>
      </c>
    </row>
    <row r="571" spans="1:1" ht="17" x14ac:dyDescent="0.2">
      <c r="A571" s="27" t="s">
        <v>610</v>
      </c>
    </row>
    <row r="572" spans="1:1" ht="17" x14ac:dyDescent="0.2">
      <c r="A572" s="27" t="s">
        <v>715</v>
      </c>
    </row>
    <row r="574" spans="1:1" ht="17" x14ac:dyDescent="0.2">
      <c r="A574" s="27" t="s">
        <v>716</v>
      </c>
    </row>
    <row r="575" spans="1:1" ht="17" x14ac:dyDescent="0.2">
      <c r="A575" s="27" t="s">
        <v>717</v>
      </c>
    </row>
    <row r="576" spans="1:1" ht="17" x14ac:dyDescent="0.2">
      <c r="A576" s="27" t="s">
        <v>718</v>
      </c>
    </row>
    <row r="578" spans="1:1" ht="17" x14ac:dyDescent="0.2">
      <c r="A578" s="27" t="s">
        <v>719</v>
      </c>
    </row>
    <row r="579" spans="1:1" ht="17" x14ac:dyDescent="0.2">
      <c r="A579" s="27" t="s">
        <v>720</v>
      </c>
    </row>
    <row r="580" spans="1:1" ht="17" x14ac:dyDescent="0.2">
      <c r="A580" s="27" t="s">
        <v>721</v>
      </c>
    </row>
    <row r="582" spans="1:1" ht="17" x14ac:dyDescent="0.2">
      <c r="A582" s="27" t="s">
        <v>722</v>
      </c>
    </row>
    <row r="583" spans="1:1" ht="17" x14ac:dyDescent="0.2">
      <c r="A583" s="27" t="s">
        <v>723</v>
      </c>
    </row>
    <row r="584" spans="1:1" ht="17" x14ac:dyDescent="0.2">
      <c r="A584" s="27" t="s">
        <v>724</v>
      </c>
    </row>
    <row r="585" spans="1:1" ht="17" x14ac:dyDescent="0.2">
      <c r="A585" s="27" t="s">
        <v>725</v>
      </c>
    </row>
    <row r="586" spans="1:1" ht="17" x14ac:dyDescent="0.2">
      <c r="A586" s="27" t="s">
        <v>726</v>
      </c>
    </row>
    <row r="587" spans="1:1" ht="17" x14ac:dyDescent="0.2">
      <c r="A587" s="27" t="s">
        <v>727</v>
      </c>
    </row>
    <row r="588" spans="1:1" ht="17" x14ac:dyDescent="0.2">
      <c r="A588" s="27" t="s">
        <v>728</v>
      </c>
    </row>
    <row r="589" spans="1:1" ht="17" x14ac:dyDescent="0.2">
      <c r="A589" s="27" t="s">
        <v>729</v>
      </c>
    </row>
    <row r="590" spans="1:1" ht="17" x14ac:dyDescent="0.2">
      <c r="A590" s="27" t="s">
        <v>730</v>
      </c>
    </row>
    <row r="591" spans="1:1" ht="17" x14ac:dyDescent="0.2">
      <c r="A591" s="27" t="s">
        <v>731</v>
      </c>
    </row>
    <row r="592" spans="1:1" ht="17" x14ac:dyDescent="0.2">
      <c r="A592" s="27" t="s">
        <v>732</v>
      </c>
    </row>
    <row r="594" spans="1:1" ht="17" x14ac:dyDescent="0.2">
      <c r="A594" s="27" t="s">
        <v>733</v>
      </c>
    </row>
    <row r="595" spans="1:1" ht="17" x14ac:dyDescent="0.2">
      <c r="A595" s="27" t="s">
        <v>734</v>
      </c>
    </row>
    <row r="596" spans="1:1" ht="17" x14ac:dyDescent="0.2">
      <c r="A596" s="27" t="s">
        <v>735</v>
      </c>
    </row>
    <row r="597" spans="1:1" ht="17" x14ac:dyDescent="0.2">
      <c r="A597" s="27" t="s">
        <v>736</v>
      </c>
    </row>
    <row r="599" spans="1:1" ht="17" x14ac:dyDescent="0.2">
      <c r="A599" s="27" t="s">
        <v>737</v>
      </c>
    </row>
    <row r="601" spans="1:1" ht="17" x14ac:dyDescent="0.2">
      <c r="A601" s="27" t="s">
        <v>738</v>
      </c>
    </row>
    <row r="603" spans="1:1" ht="17" x14ac:dyDescent="0.2">
      <c r="A603" s="27" t="s">
        <v>739</v>
      </c>
    </row>
    <row r="605" spans="1:1" ht="17" x14ac:dyDescent="0.2">
      <c r="A605" s="27" t="s">
        <v>740</v>
      </c>
    </row>
    <row r="606" spans="1:1" ht="17" x14ac:dyDescent="0.2">
      <c r="A606" s="27" t="s">
        <v>741</v>
      </c>
    </row>
    <row r="607" spans="1:1" ht="17" x14ac:dyDescent="0.2">
      <c r="A607" s="27" t="s">
        <v>742</v>
      </c>
    </row>
    <row r="608" spans="1:1" ht="17" x14ac:dyDescent="0.2">
      <c r="A608" s="27" t="s">
        <v>743</v>
      </c>
    </row>
    <row r="609" spans="1:1" ht="17" x14ac:dyDescent="0.2">
      <c r="A609" s="27" t="s">
        <v>744</v>
      </c>
    </row>
    <row r="610" spans="1:1" ht="17" x14ac:dyDescent="0.2">
      <c r="A610" s="27" t="s">
        <v>745</v>
      </c>
    </row>
    <row r="611" spans="1:1" ht="17" x14ac:dyDescent="0.2">
      <c r="A611" s="27" t="s">
        <v>746</v>
      </c>
    </row>
    <row r="613" spans="1:1" ht="17" x14ac:dyDescent="0.2">
      <c r="A613" s="27" t="s">
        <v>747</v>
      </c>
    </row>
    <row r="614" spans="1:1" ht="17" x14ac:dyDescent="0.2">
      <c r="A614" s="27" t="s">
        <v>748</v>
      </c>
    </row>
    <row r="615" spans="1:1" ht="17" x14ac:dyDescent="0.2">
      <c r="A615" s="27" t="s">
        <v>749</v>
      </c>
    </row>
    <row r="616" spans="1:1" ht="17" x14ac:dyDescent="0.2">
      <c r="A616" s="27" t="s">
        <v>750</v>
      </c>
    </row>
    <row r="617" spans="1:1" ht="17" x14ac:dyDescent="0.2">
      <c r="A617" s="27" t="s">
        <v>751</v>
      </c>
    </row>
    <row r="619" spans="1:1" ht="17" x14ac:dyDescent="0.2">
      <c r="A619" s="27" t="s">
        <v>752</v>
      </c>
    </row>
    <row r="620" spans="1:1" ht="17" x14ac:dyDescent="0.2">
      <c r="A620" s="27" t="s">
        <v>753</v>
      </c>
    </row>
    <row r="621" spans="1:1" ht="17" x14ac:dyDescent="0.2">
      <c r="A621" s="27" t="s">
        <v>754</v>
      </c>
    </row>
    <row r="622" spans="1:1" ht="17" x14ac:dyDescent="0.2">
      <c r="A622" s="27" t="s">
        <v>755</v>
      </c>
    </row>
    <row r="624" spans="1:1" ht="17" x14ac:dyDescent="0.2">
      <c r="A624" s="27" t="s">
        <v>756</v>
      </c>
    </row>
    <row r="625" spans="1:1" ht="17" x14ac:dyDescent="0.2">
      <c r="A625" s="27" t="s">
        <v>757</v>
      </c>
    </row>
    <row r="627" spans="1:1" ht="17" x14ac:dyDescent="0.2">
      <c r="A627" s="27" t="s">
        <v>758</v>
      </c>
    </row>
    <row r="628" spans="1:1" ht="17" x14ac:dyDescent="0.2">
      <c r="A628" s="27" t="s">
        <v>759</v>
      </c>
    </row>
    <row r="630" spans="1:1" ht="17" x14ac:dyDescent="0.2">
      <c r="A630" s="27" t="s">
        <v>760</v>
      </c>
    </row>
    <row r="631" spans="1:1" ht="17" x14ac:dyDescent="0.2">
      <c r="A631" s="27" t="s">
        <v>761</v>
      </c>
    </row>
    <row r="632" spans="1:1" ht="17" x14ac:dyDescent="0.2">
      <c r="A632" s="27" t="s">
        <v>762</v>
      </c>
    </row>
    <row r="633" spans="1:1" ht="17" x14ac:dyDescent="0.2">
      <c r="A633" s="27" t="s">
        <v>763</v>
      </c>
    </row>
    <row r="634" spans="1:1" ht="17" x14ac:dyDescent="0.2">
      <c r="A634" s="27" t="s">
        <v>764</v>
      </c>
    </row>
    <row r="635" spans="1:1" ht="17" x14ac:dyDescent="0.2">
      <c r="A635" s="27" t="s">
        <v>765</v>
      </c>
    </row>
    <row r="637" spans="1:1" ht="17" x14ac:dyDescent="0.2">
      <c r="A637" s="27" t="s">
        <v>766</v>
      </c>
    </row>
    <row r="638" spans="1:1" ht="17" x14ac:dyDescent="0.2">
      <c r="A638" s="27" t="s">
        <v>767</v>
      </c>
    </row>
    <row r="639" spans="1:1" ht="17" x14ac:dyDescent="0.2">
      <c r="A639" s="27" t="s">
        <v>768</v>
      </c>
    </row>
    <row r="640" spans="1:1" ht="17" x14ac:dyDescent="0.2">
      <c r="A640" s="27" t="s">
        <v>769</v>
      </c>
    </row>
    <row r="641" spans="1:1" ht="17" x14ac:dyDescent="0.2">
      <c r="A641" s="27" t="s">
        <v>770</v>
      </c>
    </row>
    <row r="643" spans="1:1" ht="17" x14ac:dyDescent="0.2">
      <c r="A643" s="27" t="s">
        <v>771</v>
      </c>
    </row>
    <row r="644" spans="1:1" ht="17" x14ac:dyDescent="0.2">
      <c r="A644" s="27" t="s">
        <v>772</v>
      </c>
    </row>
    <row r="645" spans="1:1" ht="17" x14ac:dyDescent="0.2">
      <c r="A645" s="27" t="s">
        <v>773</v>
      </c>
    </row>
    <row r="646" spans="1:1" ht="17" x14ac:dyDescent="0.2">
      <c r="A646" s="27" t="s">
        <v>774</v>
      </c>
    </row>
    <row r="647" spans="1:1" ht="17" x14ac:dyDescent="0.2">
      <c r="A647" s="27" t="s">
        <v>775</v>
      </c>
    </row>
    <row r="649" spans="1:1" ht="17" x14ac:dyDescent="0.2">
      <c r="A649" s="27" t="s">
        <v>776</v>
      </c>
    </row>
    <row r="651" spans="1:1" ht="17" x14ac:dyDescent="0.2">
      <c r="A651" s="27" t="s">
        <v>777</v>
      </c>
    </row>
    <row r="652" spans="1:1" ht="17" x14ac:dyDescent="0.2">
      <c r="A652" s="27" t="s">
        <v>778</v>
      </c>
    </row>
    <row r="653" spans="1:1" ht="17" x14ac:dyDescent="0.2">
      <c r="A653" s="27" t="s">
        <v>779</v>
      </c>
    </row>
    <row r="654" spans="1:1" ht="17" x14ac:dyDescent="0.2">
      <c r="A654" s="27" t="s">
        <v>780</v>
      </c>
    </row>
    <row r="655" spans="1:1" ht="17" x14ac:dyDescent="0.2">
      <c r="A655" s="27" t="s">
        <v>781</v>
      </c>
    </row>
    <row r="656" spans="1:1" ht="17" x14ac:dyDescent="0.2">
      <c r="A656" s="27" t="s">
        <v>782</v>
      </c>
    </row>
    <row r="657" spans="1:1" ht="17" x14ac:dyDescent="0.2">
      <c r="A657" s="27" t="s">
        <v>783</v>
      </c>
    </row>
    <row r="658" spans="1:1" ht="17" x14ac:dyDescent="0.2">
      <c r="A658" s="27" t="s">
        <v>784</v>
      </c>
    </row>
    <row r="659" spans="1:1" ht="17" x14ac:dyDescent="0.2">
      <c r="A659" s="27" t="s">
        <v>785</v>
      </c>
    </row>
    <row r="660" spans="1:1" ht="17" x14ac:dyDescent="0.2">
      <c r="A660" s="27" t="s">
        <v>786</v>
      </c>
    </row>
    <row r="661" spans="1:1" ht="17" x14ac:dyDescent="0.2">
      <c r="A661" s="27" t="s">
        <v>787</v>
      </c>
    </row>
    <row r="663" spans="1:1" ht="17" x14ac:dyDescent="0.2">
      <c r="A663" s="27" t="s">
        <v>788</v>
      </c>
    </row>
    <row r="665" spans="1:1" ht="17" x14ac:dyDescent="0.2">
      <c r="A665" s="27" t="s">
        <v>789</v>
      </c>
    </row>
    <row r="666" spans="1:1" ht="17" x14ac:dyDescent="0.2">
      <c r="A666" s="27" t="s">
        <v>790</v>
      </c>
    </row>
    <row r="667" spans="1:1" ht="17" x14ac:dyDescent="0.2">
      <c r="A667" s="27" t="s">
        <v>791</v>
      </c>
    </row>
    <row r="668" spans="1:1" ht="17" x14ac:dyDescent="0.2">
      <c r="A668" s="27" t="s">
        <v>792</v>
      </c>
    </row>
    <row r="669" spans="1:1" ht="17" x14ac:dyDescent="0.2">
      <c r="A669" s="27" t="s">
        <v>793</v>
      </c>
    </row>
    <row r="670" spans="1:1" ht="17" x14ac:dyDescent="0.2">
      <c r="A670" s="27" t="s">
        <v>794</v>
      </c>
    </row>
    <row r="671" spans="1:1" ht="17" x14ac:dyDescent="0.2">
      <c r="A671" s="27" t="s">
        <v>795</v>
      </c>
    </row>
    <row r="673" spans="1:1" ht="17" x14ac:dyDescent="0.2">
      <c r="A673" s="27" t="s">
        <v>796</v>
      </c>
    </row>
    <row r="675" spans="1:1" ht="17" x14ac:dyDescent="0.2">
      <c r="A675" s="27" t="s">
        <v>797</v>
      </c>
    </row>
    <row r="676" spans="1:1" ht="17" x14ac:dyDescent="0.2">
      <c r="A676" s="27" t="s">
        <v>798</v>
      </c>
    </row>
    <row r="677" spans="1:1" ht="17" x14ac:dyDescent="0.2">
      <c r="A677" s="27" t="s">
        <v>799</v>
      </c>
    </row>
    <row r="678" spans="1:1" ht="17" x14ac:dyDescent="0.2">
      <c r="A678" s="27" t="s">
        <v>800</v>
      </c>
    </row>
    <row r="679" spans="1:1" ht="17" x14ac:dyDescent="0.2">
      <c r="A679" s="27" t="s">
        <v>801</v>
      </c>
    </row>
    <row r="680" spans="1:1" ht="17" x14ac:dyDescent="0.2">
      <c r="A680" s="27" t="s">
        <v>802</v>
      </c>
    </row>
    <row r="681" spans="1:1" ht="17" x14ac:dyDescent="0.2">
      <c r="A681" s="27" t="s">
        <v>803</v>
      </c>
    </row>
    <row r="682" spans="1:1" ht="17" x14ac:dyDescent="0.2">
      <c r="A682" s="27" t="s">
        <v>804</v>
      </c>
    </row>
    <row r="684" spans="1:1" ht="17" x14ac:dyDescent="0.2">
      <c r="A684" s="27" t="s">
        <v>805</v>
      </c>
    </row>
    <row r="685" spans="1:1" ht="17" x14ac:dyDescent="0.2">
      <c r="A685" s="27" t="s">
        <v>798</v>
      </c>
    </row>
    <row r="686" spans="1:1" ht="17" x14ac:dyDescent="0.2">
      <c r="A686" s="27" t="s">
        <v>806</v>
      </c>
    </row>
    <row r="687" spans="1:1" ht="17" x14ac:dyDescent="0.2">
      <c r="A687" s="27" t="s">
        <v>807</v>
      </c>
    </row>
    <row r="688" spans="1:1" ht="17" x14ac:dyDescent="0.2">
      <c r="A688" s="27" t="s">
        <v>808</v>
      </c>
    </row>
    <row r="689" spans="1:1" ht="17" x14ac:dyDescent="0.2">
      <c r="A689" s="27" t="s">
        <v>809</v>
      </c>
    </row>
    <row r="690" spans="1:1" ht="17" x14ac:dyDescent="0.2">
      <c r="A690" s="27" t="s">
        <v>810</v>
      </c>
    </row>
    <row r="691" spans="1:1" ht="17" x14ac:dyDescent="0.2">
      <c r="A691" s="27" t="s">
        <v>811</v>
      </c>
    </row>
    <row r="692" spans="1:1" ht="17" x14ac:dyDescent="0.2">
      <c r="A692" s="27" t="s">
        <v>812</v>
      </c>
    </row>
    <row r="693" spans="1:1" ht="17" x14ac:dyDescent="0.2">
      <c r="A693" s="27" t="s">
        <v>813</v>
      </c>
    </row>
    <row r="695" spans="1:1" ht="17" x14ac:dyDescent="0.2">
      <c r="A695" s="27" t="s">
        <v>814</v>
      </c>
    </row>
    <row r="696" spans="1:1" ht="17" x14ac:dyDescent="0.2">
      <c r="A696" s="27" t="s">
        <v>815</v>
      </c>
    </row>
    <row r="697" spans="1:1" ht="17" x14ac:dyDescent="0.2">
      <c r="A697" s="27" t="s">
        <v>816</v>
      </c>
    </row>
    <row r="698" spans="1:1" ht="17" x14ac:dyDescent="0.2">
      <c r="A698" s="27" t="s">
        <v>817</v>
      </c>
    </row>
    <row r="699" spans="1:1" ht="17" x14ac:dyDescent="0.2">
      <c r="A699" s="27" t="s">
        <v>818</v>
      </c>
    </row>
    <row r="700" spans="1:1" ht="17" x14ac:dyDescent="0.2">
      <c r="A700" s="27" t="s">
        <v>819</v>
      </c>
    </row>
    <row r="701" spans="1:1" ht="17" x14ac:dyDescent="0.2">
      <c r="A701" s="27" t="s">
        <v>820</v>
      </c>
    </row>
    <row r="702" spans="1:1" ht="17" x14ac:dyDescent="0.2">
      <c r="A702" s="27" t="s">
        <v>821</v>
      </c>
    </row>
    <row r="704" spans="1:1" ht="17" x14ac:dyDescent="0.2">
      <c r="A704" s="27" t="s">
        <v>822</v>
      </c>
    </row>
    <row r="705" spans="1:1" ht="17" x14ac:dyDescent="0.2">
      <c r="A705" s="27" t="s">
        <v>823</v>
      </c>
    </row>
    <row r="706" spans="1:1" ht="17" x14ac:dyDescent="0.2">
      <c r="A706" s="27" t="s">
        <v>824</v>
      </c>
    </row>
    <row r="707" spans="1:1" ht="17" x14ac:dyDescent="0.2">
      <c r="A707" s="27" t="s">
        <v>825</v>
      </c>
    </row>
    <row r="708" spans="1:1" ht="17" x14ac:dyDescent="0.2">
      <c r="A708" s="27" t="s">
        <v>826</v>
      </c>
    </row>
    <row r="709" spans="1:1" ht="17" x14ac:dyDescent="0.2">
      <c r="A709" s="27" t="s">
        <v>827</v>
      </c>
    </row>
    <row r="710" spans="1:1" ht="17" x14ac:dyDescent="0.2">
      <c r="A710" s="27" t="s">
        <v>828</v>
      </c>
    </row>
    <row r="711" spans="1:1" ht="17" x14ac:dyDescent="0.2">
      <c r="A711" s="27" t="s">
        <v>829</v>
      </c>
    </row>
    <row r="713" spans="1:1" ht="17" x14ac:dyDescent="0.2">
      <c r="A713" s="27" t="s">
        <v>830</v>
      </c>
    </row>
    <row r="714" spans="1:1" ht="17" x14ac:dyDescent="0.2">
      <c r="A714" s="27" t="s">
        <v>831</v>
      </c>
    </row>
    <row r="715" spans="1:1" ht="17" x14ac:dyDescent="0.2">
      <c r="A715" s="27" t="s">
        <v>832</v>
      </c>
    </row>
    <row r="716" spans="1:1" ht="17" x14ac:dyDescent="0.2">
      <c r="A716" s="27" t="s">
        <v>833</v>
      </c>
    </row>
    <row r="717" spans="1:1" ht="17" x14ac:dyDescent="0.2">
      <c r="A717" s="27" t="s">
        <v>834</v>
      </c>
    </row>
    <row r="718" spans="1:1" ht="17" x14ac:dyDescent="0.2">
      <c r="A718" s="27" t="s">
        <v>835</v>
      </c>
    </row>
    <row r="719" spans="1:1" ht="17" x14ac:dyDescent="0.2">
      <c r="A719" s="27" t="s">
        <v>836</v>
      </c>
    </row>
    <row r="721" spans="1:1" ht="17" x14ac:dyDescent="0.2">
      <c r="A721" s="27" t="s">
        <v>837</v>
      </c>
    </row>
    <row r="722" spans="1:1" ht="17" x14ac:dyDescent="0.2">
      <c r="A722" s="27" t="s">
        <v>838</v>
      </c>
    </row>
    <row r="723" spans="1:1" ht="17" x14ac:dyDescent="0.2">
      <c r="A723" s="27" t="s">
        <v>839</v>
      </c>
    </row>
    <row r="724" spans="1:1" ht="17" x14ac:dyDescent="0.2">
      <c r="A724" s="27" t="s">
        <v>840</v>
      </c>
    </row>
    <row r="725" spans="1:1" ht="17" x14ac:dyDescent="0.2">
      <c r="A725" s="27" t="s">
        <v>841</v>
      </c>
    </row>
    <row r="726" spans="1:1" ht="17" x14ac:dyDescent="0.2">
      <c r="A726" s="27" t="s">
        <v>842</v>
      </c>
    </row>
    <row r="728" spans="1:1" ht="17" x14ac:dyDescent="0.2">
      <c r="A728" s="27" t="s">
        <v>843</v>
      </c>
    </row>
    <row r="730" spans="1:1" ht="17" x14ac:dyDescent="0.2">
      <c r="A730" s="27" t="s">
        <v>844</v>
      </c>
    </row>
    <row r="731" spans="1:1" ht="34" x14ac:dyDescent="0.2">
      <c r="A731" s="27" t="s">
        <v>845</v>
      </c>
    </row>
    <row r="732" spans="1:1" ht="17" x14ac:dyDescent="0.2">
      <c r="A732" s="27" t="s">
        <v>846</v>
      </c>
    </row>
    <row r="734" spans="1:1" ht="17" x14ac:dyDescent="0.2">
      <c r="A734" s="27" t="s">
        <v>847</v>
      </c>
    </row>
    <row r="735" spans="1:1" ht="17" x14ac:dyDescent="0.2">
      <c r="A735" s="27" t="s">
        <v>848</v>
      </c>
    </row>
    <row r="736" spans="1:1" ht="17" x14ac:dyDescent="0.2">
      <c r="A736" s="27" t="s">
        <v>849</v>
      </c>
    </row>
    <row r="737" spans="1:1" ht="17" x14ac:dyDescent="0.2">
      <c r="A737" s="27" t="s">
        <v>850</v>
      </c>
    </row>
    <row r="738" spans="1:1" ht="17" x14ac:dyDescent="0.2">
      <c r="A738" s="27" t="s">
        <v>851</v>
      </c>
    </row>
    <row r="739" spans="1:1" ht="17" x14ac:dyDescent="0.2">
      <c r="A739" s="27" t="s">
        <v>852</v>
      </c>
    </row>
    <row r="740" spans="1:1" ht="17" x14ac:dyDescent="0.2">
      <c r="A740" s="27" t="s">
        <v>853</v>
      </c>
    </row>
    <row r="741" spans="1:1" ht="17" x14ac:dyDescent="0.2">
      <c r="A741" s="27" t="s">
        <v>854</v>
      </c>
    </row>
    <row r="742" spans="1:1" ht="17" x14ac:dyDescent="0.2">
      <c r="A742" s="27" t="s">
        <v>855</v>
      </c>
    </row>
    <row r="744" spans="1:1" ht="17" x14ac:dyDescent="0.2">
      <c r="A744" s="27" t="s">
        <v>856</v>
      </c>
    </row>
    <row r="745" spans="1:1" x14ac:dyDescent="0.2">
      <c r="A745" s="27" t="e" cm="1">
        <f t="array" ref="A745">- all formula cells: locked</f>
        <v>#NAME?</v>
      </c>
    </row>
    <row r="746" spans="1:1" x14ac:dyDescent="0.2">
      <c r="A746" s="27" t="e" cm="1">
        <f t="array" ref="A746">- all blue (input) cells: unlocked</f>
        <v>#NAME?</v>
      </c>
    </row>
    <row r="747" spans="1:1" ht="17" x14ac:dyDescent="0.2">
      <c r="A747" s="27" t="s">
        <v>857</v>
      </c>
    </row>
    <row r="748" spans="1:1" ht="17" x14ac:dyDescent="0.2">
      <c r="A748" s="27" t="s">
        <v>858</v>
      </c>
    </row>
    <row r="750" spans="1:1" ht="17" x14ac:dyDescent="0.2">
      <c r="A750" s="27" t="s">
        <v>859</v>
      </c>
    </row>
    <row r="751" spans="1:1" ht="17" x14ac:dyDescent="0.2">
      <c r="A751" s="27" t="s">
        <v>860</v>
      </c>
    </row>
    <row r="752" spans="1:1" ht="17" x14ac:dyDescent="0.2">
      <c r="A752" s="27" t="s">
        <v>861</v>
      </c>
    </row>
    <row r="753" spans="1:1" ht="17" x14ac:dyDescent="0.2">
      <c r="A753" s="27" t="s">
        <v>862</v>
      </c>
    </row>
    <row r="754" spans="1:1" ht="17" x14ac:dyDescent="0.2">
      <c r="A754" s="27" t="s">
        <v>863</v>
      </c>
    </row>
    <row r="755" spans="1:1" ht="17" x14ac:dyDescent="0.2">
      <c r="A755" s="27" t="s">
        <v>864</v>
      </c>
    </row>
    <row r="757" spans="1:1" ht="17" x14ac:dyDescent="0.2">
      <c r="A757" s="27" t="s">
        <v>865</v>
      </c>
    </row>
    <row r="758" spans="1:1" ht="17" x14ac:dyDescent="0.2">
      <c r="A758" s="27" t="s">
        <v>866</v>
      </c>
    </row>
    <row r="759" spans="1:1" ht="17" x14ac:dyDescent="0.2">
      <c r="A759" s="27" t="s">
        <v>867</v>
      </c>
    </row>
    <row r="760" spans="1:1" ht="17" x14ac:dyDescent="0.2">
      <c r="A760" s="27" t="s">
        <v>868</v>
      </c>
    </row>
    <row r="761" spans="1:1" ht="17" x14ac:dyDescent="0.2">
      <c r="A761" s="27" t="s">
        <v>869</v>
      </c>
    </row>
    <row r="762" spans="1:1" ht="17" x14ac:dyDescent="0.2">
      <c r="A762" s="27" t="s">
        <v>870</v>
      </c>
    </row>
    <row r="763" spans="1:1" ht="17" x14ac:dyDescent="0.2">
      <c r="A763" s="27" t="s">
        <v>871</v>
      </c>
    </row>
    <row r="764" spans="1:1" ht="17" x14ac:dyDescent="0.2">
      <c r="A764" s="27" t="s">
        <v>872</v>
      </c>
    </row>
    <row r="765" spans="1:1" ht="17" x14ac:dyDescent="0.2">
      <c r="A765" s="27" t="s">
        <v>873</v>
      </c>
    </row>
    <row r="766" spans="1:1" ht="17" x14ac:dyDescent="0.2">
      <c r="A766" s="27" t="s">
        <v>874</v>
      </c>
    </row>
    <row r="767" spans="1:1" ht="17" x14ac:dyDescent="0.2">
      <c r="A767" s="27" t="s">
        <v>875</v>
      </c>
    </row>
    <row r="768" spans="1:1" ht="17" x14ac:dyDescent="0.2">
      <c r="A768" s="27" t="s">
        <v>876</v>
      </c>
    </row>
    <row r="769" spans="1:1" ht="17" x14ac:dyDescent="0.2">
      <c r="A769" s="27" t="s">
        <v>877</v>
      </c>
    </row>
    <row r="771" spans="1:1" ht="17" x14ac:dyDescent="0.2">
      <c r="A771" s="27" t="s">
        <v>878</v>
      </c>
    </row>
    <row r="773" spans="1:1" ht="17" x14ac:dyDescent="0.2">
      <c r="A773" s="27" t="s">
        <v>879</v>
      </c>
    </row>
    <row r="774" spans="1:1" ht="17" x14ac:dyDescent="0.2">
      <c r="A774" s="27" t="s">
        <v>880</v>
      </c>
    </row>
    <row r="775" spans="1:1" ht="17" x14ac:dyDescent="0.2">
      <c r="A775" s="27" t="s">
        <v>881</v>
      </c>
    </row>
    <row r="776" spans="1:1" ht="17" x14ac:dyDescent="0.2">
      <c r="A776" s="27" t="s">
        <v>882</v>
      </c>
    </row>
    <row r="777" spans="1:1" ht="17" x14ac:dyDescent="0.2">
      <c r="A777" s="27" t="s">
        <v>883</v>
      </c>
    </row>
    <row r="778" spans="1:1" ht="17" x14ac:dyDescent="0.2">
      <c r="A778" s="27" t="s">
        <v>884</v>
      </c>
    </row>
    <row r="779" spans="1:1" ht="17" x14ac:dyDescent="0.2">
      <c r="A779" s="27" t="s">
        <v>885</v>
      </c>
    </row>
    <row r="780" spans="1:1" ht="17" x14ac:dyDescent="0.2">
      <c r="A780" s="27" t="s">
        <v>886</v>
      </c>
    </row>
    <row r="781" spans="1:1" ht="17" x14ac:dyDescent="0.2">
      <c r="A781" s="27" t="s">
        <v>887</v>
      </c>
    </row>
    <row r="782" spans="1:1" ht="17" x14ac:dyDescent="0.2">
      <c r="A782" s="27" t="s">
        <v>888</v>
      </c>
    </row>
    <row r="783" spans="1:1" ht="17" x14ac:dyDescent="0.2">
      <c r="A783" s="27" t="s">
        <v>889</v>
      </c>
    </row>
    <row r="784" spans="1:1" ht="17" x14ac:dyDescent="0.2">
      <c r="A784" s="27" t="s">
        <v>890</v>
      </c>
    </row>
    <row r="785" spans="1:1" ht="17" x14ac:dyDescent="0.2">
      <c r="A785" s="27" t="s">
        <v>891</v>
      </c>
    </row>
    <row r="786" spans="1:1" ht="17" x14ac:dyDescent="0.2">
      <c r="A786" s="27" t="s">
        <v>892</v>
      </c>
    </row>
    <row r="787" spans="1:1" ht="17" x14ac:dyDescent="0.2">
      <c r="A787" s="27" t="s">
        <v>893</v>
      </c>
    </row>
    <row r="788" spans="1:1" ht="17" x14ac:dyDescent="0.2">
      <c r="A788" s="27" t="s">
        <v>894</v>
      </c>
    </row>
    <row r="789" spans="1:1" ht="17" x14ac:dyDescent="0.2">
      <c r="A789" s="27" t="s">
        <v>895</v>
      </c>
    </row>
    <row r="790" spans="1:1" ht="17" x14ac:dyDescent="0.2">
      <c r="A790" s="27" t="s">
        <v>896</v>
      </c>
    </row>
    <row r="791" spans="1:1" ht="17" x14ac:dyDescent="0.2">
      <c r="A791" s="27" t="s">
        <v>897</v>
      </c>
    </row>
    <row r="792" spans="1:1" ht="17" x14ac:dyDescent="0.2">
      <c r="A792" s="27" t="s">
        <v>898</v>
      </c>
    </row>
    <row r="793" spans="1:1" ht="17" x14ac:dyDescent="0.2">
      <c r="A793" s="27" t="s">
        <v>899</v>
      </c>
    </row>
    <row r="794" spans="1:1" ht="17" x14ac:dyDescent="0.2">
      <c r="A794" s="27" t="s">
        <v>900</v>
      </c>
    </row>
    <row r="795" spans="1:1" ht="17" x14ac:dyDescent="0.2">
      <c r="A795" s="27" t="s">
        <v>901</v>
      </c>
    </row>
    <row r="796" spans="1:1" ht="17" x14ac:dyDescent="0.2">
      <c r="A796" s="27" t="s">
        <v>902</v>
      </c>
    </row>
    <row r="797" spans="1:1" ht="17" x14ac:dyDescent="0.2">
      <c r="A797" s="27" t="s">
        <v>903</v>
      </c>
    </row>
    <row r="798" spans="1:1" ht="17" x14ac:dyDescent="0.2">
      <c r="A798" s="27" t="s">
        <v>904</v>
      </c>
    </row>
    <row r="799" spans="1:1" ht="17" x14ac:dyDescent="0.2">
      <c r="A799" s="27" t="s">
        <v>905</v>
      </c>
    </row>
    <row r="800" spans="1:1" ht="17" x14ac:dyDescent="0.2">
      <c r="A800" s="27" t="s">
        <v>906</v>
      </c>
    </row>
    <row r="801" spans="1:1" ht="17" x14ac:dyDescent="0.2">
      <c r="A801" s="27" t="s">
        <v>907</v>
      </c>
    </row>
    <row r="802" spans="1:1" ht="17" x14ac:dyDescent="0.2">
      <c r="A802" s="27" t="s">
        <v>908</v>
      </c>
    </row>
    <row r="804" spans="1:1" ht="17" x14ac:dyDescent="0.2">
      <c r="A804" s="27" t="s">
        <v>909</v>
      </c>
    </row>
    <row r="805" spans="1:1" ht="17" x14ac:dyDescent="0.2">
      <c r="A805" s="27" t="s">
        <v>910</v>
      </c>
    </row>
    <row r="806" spans="1:1" ht="17" x14ac:dyDescent="0.2">
      <c r="A806" s="27" t="s">
        <v>911</v>
      </c>
    </row>
    <row r="807" spans="1:1" ht="17" x14ac:dyDescent="0.2">
      <c r="A807" s="27" t="s">
        <v>912</v>
      </c>
    </row>
    <row r="808" spans="1:1" ht="17" x14ac:dyDescent="0.2">
      <c r="A808" s="27" t="s">
        <v>913</v>
      </c>
    </row>
    <row r="809" spans="1:1" ht="17" x14ac:dyDescent="0.2">
      <c r="A809" s="27" t="s">
        <v>914</v>
      </c>
    </row>
    <row r="810" spans="1:1" ht="17" x14ac:dyDescent="0.2">
      <c r="A810" s="27" t="s">
        <v>915</v>
      </c>
    </row>
    <row r="811" spans="1:1" ht="17" x14ac:dyDescent="0.2">
      <c r="A811" s="27" t="s">
        <v>916</v>
      </c>
    </row>
    <row r="812" spans="1:1" ht="17" x14ac:dyDescent="0.2">
      <c r="A812" s="27" t="s">
        <v>917</v>
      </c>
    </row>
    <row r="813" spans="1:1" ht="17" x14ac:dyDescent="0.2">
      <c r="A813" s="27" t="s">
        <v>918</v>
      </c>
    </row>
    <row r="815" spans="1:1" ht="17" x14ac:dyDescent="0.2">
      <c r="A815" s="27" t="s">
        <v>919</v>
      </c>
    </row>
    <row r="816" spans="1:1" ht="17" x14ac:dyDescent="0.2">
      <c r="A816" s="27" t="s">
        <v>920</v>
      </c>
    </row>
    <row r="817" spans="1:1" ht="17" x14ac:dyDescent="0.2">
      <c r="A817" s="27" t="s">
        <v>921</v>
      </c>
    </row>
    <row r="818" spans="1:1" ht="17" x14ac:dyDescent="0.2">
      <c r="A818" s="27" t="s">
        <v>922</v>
      </c>
    </row>
    <row r="819" spans="1:1" ht="17" x14ac:dyDescent="0.2">
      <c r="A819" s="27" t="s">
        <v>923</v>
      </c>
    </row>
    <row r="820" spans="1:1" ht="17" x14ac:dyDescent="0.2">
      <c r="A820" s="27" t="s">
        <v>924</v>
      </c>
    </row>
    <row r="821" spans="1:1" ht="17" x14ac:dyDescent="0.2">
      <c r="A821" s="27" t="s">
        <v>925</v>
      </c>
    </row>
    <row r="822" spans="1:1" ht="17" x14ac:dyDescent="0.2">
      <c r="A822" s="27" t="s">
        <v>926</v>
      </c>
    </row>
    <row r="823" spans="1:1" ht="17" x14ac:dyDescent="0.2">
      <c r="A823" s="27" t="s">
        <v>927</v>
      </c>
    </row>
    <row r="824" spans="1:1" ht="17" x14ac:dyDescent="0.2">
      <c r="A824" s="27" t="s">
        <v>928</v>
      </c>
    </row>
    <row r="825" spans="1:1" ht="17" x14ac:dyDescent="0.2">
      <c r="A825" s="27" t="s">
        <v>929</v>
      </c>
    </row>
    <row r="826" spans="1:1" ht="17" x14ac:dyDescent="0.2">
      <c r="A826" s="27" t="s">
        <v>930</v>
      </c>
    </row>
    <row r="828" spans="1:1" ht="17" x14ac:dyDescent="0.2">
      <c r="A828" s="27" t="s">
        <v>931</v>
      </c>
    </row>
    <row r="829" spans="1:1" ht="17" x14ac:dyDescent="0.2">
      <c r="A829" s="27" t="s">
        <v>932</v>
      </c>
    </row>
    <row r="830" spans="1:1" ht="17" x14ac:dyDescent="0.2">
      <c r="A830" s="27" t="s">
        <v>933</v>
      </c>
    </row>
    <row r="831" spans="1:1" ht="17" x14ac:dyDescent="0.2">
      <c r="A831" s="27" t="s">
        <v>934</v>
      </c>
    </row>
    <row r="832" spans="1:1" ht="17" x14ac:dyDescent="0.2">
      <c r="A832" s="27" t="s">
        <v>935</v>
      </c>
    </row>
    <row r="833" spans="1:1" ht="17" x14ac:dyDescent="0.2">
      <c r="A833" s="27" t="s">
        <v>936</v>
      </c>
    </row>
    <row r="834" spans="1:1" ht="17" x14ac:dyDescent="0.2">
      <c r="A834" s="27" t="s">
        <v>937</v>
      </c>
    </row>
    <row r="835" spans="1:1" ht="17" x14ac:dyDescent="0.2">
      <c r="A835" s="27" t="s">
        <v>938</v>
      </c>
    </row>
    <row r="836" spans="1:1" ht="17" x14ac:dyDescent="0.2">
      <c r="A836" s="27" t="s">
        <v>939</v>
      </c>
    </row>
    <row r="837" spans="1:1" ht="17" x14ac:dyDescent="0.2">
      <c r="A837" s="27" t="s">
        <v>940</v>
      </c>
    </row>
    <row r="838" spans="1:1" ht="17" x14ac:dyDescent="0.2">
      <c r="A838" s="27" t="s">
        <v>941</v>
      </c>
    </row>
    <row r="839" spans="1:1" ht="17" x14ac:dyDescent="0.2">
      <c r="A839" s="27" t="s">
        <v>942</v>
      </c>
    </row>
    <row r="840" spans="1:1" ht="17" x14ac:dyDescent="0.2">
      <c r="A840" s="27" t="s">
        <v>943</v>
      </c>
    </row>
    <row r="841" spans="1:1" ht="17" x14ac:dyDescent="0.2">
      <c r="A841" s="27" t="s">
        <v>944</v>
      </c>
    </row>
    <row r="842" spans="1:1" ht="17" x14ac:dyDescent="0.2">
      <c r="A842" s="27" t="s">
        <v>945</v>
      </c>
    </row>
    <row r="843" spans="1:1" ht="17" x14ac:dyDescent="0.2">
      <c r="A843" s="27" t="s">
        <v>946</v>
      </c>
    </row>
    <row r="844" spans="1:1" ht="17" x14ac:dyDescent="0.2">
      <c r="A844" s="27" t="s">
        <v>947</v>
      </c>
    </row>
    <row r="846" spans="1:1" ht="17" x14ac:dyDescent="0.2">
      <c r="A846" s="27" t="s">
        <v>948</v>
      </c>
    </row>
    <row r="847" spans="1:1" ht="17" x14ac:dyDescent="0.2">
      <c r="A847" s="27" t="s">
        <v>949</v>
      </c>
    </row>
    <row r="848" spans="1:1" ht="17" x14ac:dyDescent="0.2">
      <c r="A848" s="27" t="s">
        <v>950</v>
      </c>
    </row>
    <row r="849" spans="1:1" ht="17" x14ac:dyDescent="0.2">
      <c r="A849" s="27" t="s">
        <v>951</v>
      </c>
    </row>
    <row r="850" spans="1:1" ht="17" x14ac:dyDescent="0.2">
      <c r="A850" s="27" t="s">
        <v>952</v>
      </c>
    </row>
    <row r="851" spans="1:1" ht="17" x14ac:dyDescent="0.2">
      <c r="A851" s="27" t="s">
        <v>953</v>
      </c>
    </row>
    <row r="852" spans="1:1" ht="17" x14ac:dyDescent="0.2">
      <c r="A852" s="27" t="s">
        <v>954</v>
      </c>
    </row>
    <row r="853" spans="1:1" ht="17" x14ac:dyDescent="0.2">
      <c r="A853" s="27" t="s">
        <v>955</v>
      </c>
    </row>
    <row r="854" spans="1:1" ht="17" x14ac:dyDescent="0.2">
      <c r="A854" s="27" t="s">
        <v>956</v>
      </c>
    </row>
    <row r="856" spans="1:1" ht="17" x14ac:dyDescent="0.2">
      <c r="A856" s="27" t="s">
        <v>957</v>
      </c>
    </row>
    <row r="857" spans="1:1" ht="17" x14ac:dyDescent="0.2">
      <c r="A857" s="27" t="s">
        <v>958</v>
      </c>
    </row>
    <row r="858" spans="1:1" ht="17" x14ac:dyDescent="0.2">
      <c r="A858" s="27" t="s">
        <v>959</v>
      </c>
    </row>
    <row r="859" spans="1:1" ht="17" x14ac:dyDescent="0.2">
      <c r="A859" s="27" t="s">
        <v>960</v>
      </c>
    </row>
    <row r="860" spans="1:1" ht="17" x14ac:dyDescent="0.2">
      <c r="A860" s="27" t="s">
        <v>961</v>
      </c>
    </row>
    <row r="861" spans="1:1" ht="17" x14ac:dyDescent="0.2">
      <c r="A861" s="27" t="s">
        <v>962</v>
      </c>
    </row>
    <row r="862" spans="1:1" ht="17" x14ac:dyDescent="0.2">
      <c r="A862" s="27" t="s">
        <v>963</v>
      </c>
    </row>
    <row r="863" spans="1:1" ht="17" x14ac:dyDescent="0.2">
      <c r="A863" s="27" t="s">
        <v>964</v>
      </c>
    </row>
    <row r="864" spans="1:1" ht="17" x14ac:dyDescent="0.2">
      <c r="A864" s="27" t="s">
        <v>965</v>
      </c>
    </row>
    <row r="865" spans="1:1" ht="17" x14ac:dyDescent="0.2">
      <c r="A865" s="27" t="s">
        <v>966</v>
      </c>
    </row>
    <row r="866" spans="1:1" ht="17" x14ac:dyDescent="0.2">
      <c r="A866" s="27" t="s">
        <v>967</v>
      </c>
    </row>
    <row r="867" spans="1:1" ht="17" x14ac:dyDescent="0.2">
      <c r="A867" s="27" t="s">
        <v>968</v>
      </c>
    </row>
    <row r="868" spans="1:1" ht="17" x14ac:dyDescent="0.2">
      <c r="A868" s="27" t="s">
        <v>969</v>
      </c>
    </row>
    <row r="869" spans="1:1" ht="17" x14ac:dyDescent="0.2">
      <c r="A869" s="27" t="s">
        <v>970</v>
      </c>
    </row>
    <row r="870" spans="1:1" ht="17" x14ac:dyDescent="0.2">
      <c r="A870" s="27" t="s">
        <v>971</v>
      </c>
    </row>
    <row r="871" spans="1:1" ht="17" x14ac:dyDescent="0.2">
      <c r="A871" s="27" t="s">
        <v>972</v>
      </c>
    </row>
    <row r="872" spans="1:1" ht="17" x14ac:dyDescent="0.2">
      <c r="A872" s="27" t="s">
        <v>973</v>
      </c>
    </row>
    <row r="873" spans="1:1" ht="17" x14ac:dyDescent="0.2">
      <c r="A873" s="27" t="s">
        <v>974</v>
      </c>
    </row>
    <row r="874" spans="1:1" ht="17" x14ac:dyDescent="0.2">
      <c r="A874" s="27" t="s">
        <v>975</v>
      </c>
    </row>
    <row r="875" spans="1:1" ht="17" x14ac:dyDescent="0.2">
      <c r="A875" s="27" t="s">
        <v>976</v>
      </c>
    </row>
    <row r="876" spans="1:1" ht="17" x14ac:dyDescent="0.2">
      <c r="A876" s="27" t="s">
        <v>977</v>
      </c>
    </row>
    <row r="878" spans="1:1" ht="17" x14ac:dyDescent="0.2">
      <c r="A878" s="27" t="s">
        <v>978</v>
      </c>
    </row>
    <row r="880" spans="1:1" ht="17" x14ac:dyDescent="0.2">
      <c r="A880" s="27" t="s">
        <v>979</v>
      </c>
    </row>
    <row r="882" spans="1:1" ht="17" x14ac:dyDescent="0.2">
      <c r="A882" s="27" t="s">
        <v>980</v>
      </c>
    </row>
    <row r="883" spans="1:1" ht="17" x14ac:dyDescent="0.2">
      <c r="A883" s="27" t="s">
        <v>981</v>
      </c>
    </row>
    <row r="885" spans="1:1" ht="17" x14ac:dyDescent="0.2">
      <c r="A885" s="27" t="s">
        <v>982</v>
      </c>
    </row>
    <row r="886" spans="1:1" ht="17" x14ac:dyDescent="0.2">
      <c r="A886" s="27" t="s">
        <v>983</v>
      </c>
    </row>
    <row r="887" spans="1:1" ht="17" x14ac:dyDescent="0.2">
      <c r="A887" s="27" t="s">
        <v>984</v>
      </c>
    </row>
    <row r="888" spans="1:1" ht="17" x14ac:dyDescent="0.2">
      <c r="A888" s="27" t="s">
        <v>985</v>
      </c>
    </row>
    <row r="890" spans="1:1" ht="17" x14ac:dyDescent="0.2">
      <c r="A890" s="27" t="s">
        <v>986</v>
      </c>
    </row>
    <row r="891" spans="1:1" ht="17" x14ac:dyDescent="0.2">
      <c r="A891" s="27" t="s">
        <v>987</v>
      </c>
    </row>
    <row r="892" spans="1:1" ht="17" x14ac:dyDescent="0.2">
      <c r="A892" s="27" t="s">
        <v>988</v>
      </c>
    </row>
    <row r="893" spans="1:1" ht="34" x14ac:dyDescent="0.2">
      <c r="A893" s="27" t="s">
        <v>989</v>
      </c>
    </row>
    <row r="894" spans="1:1" ht="17" x14ac:dyDescent="0.2">
      <c r="A894" s="27" t="s">
        <v>990</v>
      </c>
    </row>
    <row r="896" spans="1:1" ht="17" x14ac:dyDescent="0.2">
      <c r="A896" s="27" t="s">
        <v>991</v>
      </c>
    </row>
    <row r="897" spans="1:1" ht="17" x14ac:dyDescent="0.2">
      <c r="A897" s="27" t="s">
        <v>992</v>
      </c>
    </row>
    <row r="898" spans="1:1" ht="17" x14ac:dyDescent="0.2">
      <c r="A898" s="27" t="s">
        <v>993</v>
      </c>
    </row>
    <row r="899" spans="1:1" ht="17" x14ac:dyDescent="0.2">
      <c r="A899" s="27" t="s">
        <v>994</v>
      </c>
    </row>
    <row r="900" spans="1:1" ht="17" x14ac:dyDescent="0.2">
      <c r="A900" s="27" t="s">
        <v>995</v>
      </c>
    </row>
    <row r="901" spans="1:1" ht="17" x14ac:dyDescent="0.2">
      <c r="A901" s="27" t="s">
        <v>996</v>
      </c>
    </row>
    <row r="902" spans="1:1" ht="17" x14ac:dyDescent="0.2">
      <c r="A902" s="27" t="s">
        <v>997</v>
      </c>
    </row>
    <row r="903" spans="1:1" ht="17" x14ac:dyDescent="0.2">
      <c r="A903" s="27" t="s">
        <v>998</v>
      </c>
    </row>
    <row r="904" spans="1:1" ht="17" x14ac:dyDescent="0.2">
      <c r="A904" s="27" t="s">
        <v>999</v>
      </c>
    </row>
    <row r="905" spans="1:1" ht="17" x14ac:dyDescent="0.2">
      <c r="A905" s="27" t="s">
        <v>1000</v>
      </c>
    </row>
    <row r="906" spans="1:1" ht="17" x14ac:dyDescent="0.2">
      <c r="A906" s="27" t="s">
        <v>1001</v>
      </c>
    </row>
    <row r="908" spans="1:1" ht="17" x14ac:dyDescent="0.2">
      <c r="A908" s="27" t="s">
        <v>1002</v>
      </c>
    </row>
    <row r="909" spans="1:1" ht="17" x14ac:dyDescent="0.2">
      <c r="A909" s="27" t="s">
        <v>1003</v>
      </c>
    </row>
    <row r="910" spans="1:1" ht="17" x14ac:dyDescent="0.2">
      <c r="A910" s="27" t="s">
        <v>1004</v>
      </c>
    </row>
    <row r="912" spans="1:1" ht="17" x14ac:dyDescent="0.2">
      <c r="A912" s="27" t="s">
        <v>1005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 Guide</vt:lpstr>
      <vt:lpstr>Assumptions</vt:lpstr>
      <vt:lpstr>Dashboard</vt:lpstr>
      <vt:lpstr>Sensitivity Analysis</vt:lpstr>
      <vt:lpstr>Scenario Tables</vt:lpstr>
      <vt:lpstr>Opportunity Cost</vt:lpstr>
      <vt:lpstr>Bala Table</vt:lpstr>
      <vt:lpstr>HDB 1984</vt:lpstr>
      <vt:lpstr>HDB 2005</vt:lpstr>
      <vt:lpstr>HDB 2015</vt:lpstr>
      <vt:lpstr>Condo 99LH</vt:lpstr>
      <vt:lpstr>FH Condo</vt:lpstr>
      <vt:lpstr>FH Landed (Prime)</vt:lpstr>
      <vt:lpstr>Cash Flow Waterfall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Chuin Chen</dc:creator>
  <cp:lastModifiedBy>Tian Chuin Chen</cp:lastModifiedBy>
  <dcterms:created xsi:type="dcterms:W3CDTF">2026-02-15T08:06:05Z</dcterms:created>
  <dcterms:modified xsi:type="dcterms:W3CDTF">2026-03-01T03:31:32Z</dcterms:modified>
</cp:coreProperties>
</file>